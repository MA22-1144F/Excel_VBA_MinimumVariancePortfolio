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defaultThemeVersion="202300"/>
  <xr:revisionPtr revIDLastSave="0" documentId="13_ncr:1_{EE62DEC6-D78C-4FE3-9249-9183DDBC764B}" xr6:coauthVersionLast="47" xr6:coauthVersionMax="47" xr10:uidLastSave="{00000000-0000-0000-0000-000000000000}"/>
  <bookViews>
    <workbookView xWindow="-120" yWindow="-120" windowWidth="29040" windowHeight="15720" xr2:uid="{9CD8A264-48AE-492E-BBF7-100DDC22677B}"/>
  </bookViews>
  <sheets>
    <sheet name="説明" sheetId="129" r:id="rId1"/>
    <sheet name="株価データサンプル" sheetId="17" r:id="rId2"/>
    <sheet name="実行結果サンプル" sheetId="135" r:id="rId3"/>
  </sheets>
  <definedNames>
    <definedName name="_xleta.AVERAGE" hidden="1" xlm="1">#NAME?</definedName>
    <definedName name="_xleta.RANK.EQ" hidden="1" xlm="1">#NAME?</definedName>
    <definedName name="_xleta.STDEV.P" hidden="1" xlm="1">#NAME?</definedName>
    <definedName name="solver_adj" localSheetId="2" hidden="1">実行結果サンプル!$B$24:$U$24</definedName>
    <definedName name="solver_eng" localSheetId="2" hidden="1">1</definedName>
    <definedName name="solver_eng" localSheetId="0" hidden="1">1</definedName>
    <definedName name="solver_lhs1" localSheetId="2" hidden="1">実行結果サンプル!$B$24</definedName>
    <definedName name="solver_lhs10" localSheetId="2" hidden="1">実行結果サンプル!$K$24</definedName>
    <definedName name="solver_lhs11" localSheetId="2" hidden="1">実行結果サンプル!$L$24</definedName>
    <definedName name="solver_lhs12" localSheetId="2" hidden="1">実行結果サンプル!$M$24</definedName>
    <definedName name="solver_lhs13" localSheetId="2" hidden="1">実行結果サンプル!$N$24</definedName>
    <definedName name="solver_lhs14" localSheetId="2" hidden="1">実行結果サンプル!$O$24</definedName>
    <definedName name="solver_lhs15" localSheetId="2" hidden="1">実行結果サンプル!$P$24</definedName>
    <definedName name="solver_lhs16" localSheetId="2" hidden="1">実行結果サンプル!$Q$24</definedName>
    <definedName name="solver_lhs17" localSheetId="2" hidden="1">実行結果サンプル!$R$24</definedName>
    <definedName name="solver_lhs18" localSheetId="2" hidden="1">実行結果サンプル!$S$24</definedName>
    <definedName name="solver_lhs19" localSheetId="2" hidden="1">実行結果サンプル!$T$24</definedName>
    <definedName name="solver_lhs2" localSheetId="2" hidden="1">実行結果サンプル!$C$24</definedName>
    <definedName name="solver_lhs20" localSheetId="2" hidden="1">実行結果サンプル!$U$24</definedName>
    <definedName name="solver_lhs21" localSheetId="2" hidden="1">実行結果サンプル!$W$24</definedName>
    <definedName name="solver_lhs22" localSheetId="2" hidden="1">実行結果サンプル!$B$27</definedName>
    <definedName name="solver_lhs3" localSheetId="2" hidden="1">実行結果サンプル!$D$24</definedName>
    <definedName name="solver_lhs4" localSheetId="2" hidden="1">実行結果サンプル!$E$24</definedName>
    <definedName name="solver_lhs5" localSheetId="2" hidden="1">実行結果サンプル!$F$24</definedName>
    <definedName name="solver_lhs6" localSheetId="2" hidden="1">実行結果サンプル!$G$24</definedName>
    <definedName name="solver_lhs7" localSheetId="2" hidden="1">実行結果サンプル!$H$24</definedName>
    <definedName name="solver_lhs8" localSheetId="2" hidden="1">実行結果サンプル!$I$24</definedName>
    <definedName name="solver_lhs9" localSheetId="2" hidden="1">実行結果サンプル!$J$24</definedName>
    <definedName name="solver_neg" localSheetId="2" hidden="1">1</definedName>
    <definedName name="solver_neg" localSheetId="0" hidden="1">1</definedName>
    <definedName name="solver_num" localSheetId="2" hidden="1">22</definedName>
    <definedName name="solver_num" localSheetId="0" hidden="1">0</definedName>
    <definedName name="solver_opt" localSheetId="2" hidden="1">実行結果サンプル!$B$75</definedName>
    <definedName name="solver_opt" localSheetId="0" hidden="1">説明!$A$1</definedName>
    <definedName name="solver_pre" localSheetId="2" hidden="1">0.000001</definedName>
    <definedName name="solver_rel1" localSheetId="2" hidden="1">3</definedName>
    <definedName name="solver_rel10" localSheetId="2" hidden="1">3</definedName>
    <definedName name="solver_rel11" localSheetId="2" hidden="1">3</definedName>
    <definedName name="solver_rel12" localSheetId="2" hidden="1">3</definedName>
    <definedName name="solver_rel13" localSheetId="2" hidden="1">3</definedName>
    <definedName name="solver_rel14" localSheetId="2" hidden="1">3</definedName>
    <definedName name="solver_rel15" localSheetId="2" hidden="1">3</definedName>
    <definedName name="solver_rel16" localSheetId="2" hidden="1">3</definedName>
    <definedName name="solver_rel17" localSheetId="2" hidden="1">3</definedName>
    <definedName name="solver_rel18" localSheetId="2" hidden="1">3</definedName>
    <definedName name="solver_rel19" localSheetId="2" hidden="1">3</definedName>
    <definedName name="solver_rel2" localSheetId="2" hidden="1">3</definedName>
    <definedName name="solver_rel20" localSheetId="2" hidden="1">3</definedName>
    <definedName name="solver_rel21" localSheetId="2" hidden="1">2</definedName>
    <definedName name="solver_rel22" localSheetId="2" hidden="1">2</definedName>
    <definedName name="solver_rel3" localSheetId="2" hidden="1">3</definedName>
    <definedName name="solver_rel4" localSheetId="2" hidden="1">3</definedName>
    <definedName name="solver_rel5" localSheetId="2" hidden="1">3</definedName>
    <definedName name="solver_rel6" localSheetId="2" hidden="1">3</definedName>
    <definedName name="solver_rel7" localSheetId="2" hidden="1">3</definedName>
    <definedName name="solver_rel8" localSheetId="2" hidden="1">3</definedName>
    <definedName name="solver_rel9" localSheetId="2" hidden="1">3</definedName>
    <definedName name="solver_rhs1" localSheetId="2" hidden="1">0.01</definedName>
    <definedName name="solver_rhs10" localSheetId="2" hidden="1">0.01</definedName>
    <definedName name="solver_rhs11" localSheetId="2" hidden="1">0.01</definedName>
    <definedName name="solver_rhs12" localSheetId="2" hidden="1">0.01</definedName>
    <definedName name="solver_rhs13" localSheetId="2" hidden="1">0.01</definedName>
    <definedName name="solver_rhs14" localSheetId="2" hidden="1">0.01</definedName>
    <definedName name="solver_rhs15" localSheetId="2" hidden="1">0.01</definedName>
    <definedName name="solver_rhs16" localSheetId="2" hidden="1">0.01</definedName>
    <definedName name="solver_rhs17" localSheetId="2" hidden="1">0.01</definedName>
    <definedName name="solver_rhs18" localSheetId="2" hidden="1">0.01</definedName>
    <definedName name="solver_rhs19" localSheetId="2" hidden="1">0.01</definedName>
    <definedName name="solver_rhs2" localSheetId="2" hidden="1">0.01</definedName>
    <definedName name="solver_rhs20" localSheetId="2" hidden="1">0.01</definedName>
    <definedName name="solver_rhs21" localSheetId="2" hidden="1">1</definedName>
    <definedName name="solver_rhs22" localSheetId="2" hidden="1">0.0176332571510069</definedName>
    <definedName name="solver_rhs3" localSheetId="2" hidden="1">0.01</definedName>
    <definedName name="solver_rhs4" localSheetId="2" hidden="1">0.01</definedName>
    <definedName name="solver_rhs5" localSheetId="2" hidden="1">0.01</definedName>
    <definedName name="solver_rhs6" localSheetId="2" hidden="1">0.01</definedName>
    <definedName name="solver_rhs7" localSheetId="2" hidden="1">0.01</definedName>
    <definedName name="solver_rhs8" localSheetId="2" hidden="1">0.01</definedName>
    <definedName name="solver_rhs9" localSheetId="2" hidden="1">0.01</definedName>
    <definedName name="solver_typ" localSheetId="2" hidden="1">2</definedName>
    <definedName name="solver_typ" localSheetId="0" hidden="1">1</definedName>
    <definedName name="solver_val" localSheetId="2" hidden="1">0</definedName>
    <definedName name="solver_val" localSheetId="0" hidden="1">0</definedName>
    <definedName name="solver_ver" localSheetId="2" hidden="1">3</definedName>
    <definedName name="solver_ver" localSheetId="0" hidden="1">3</definedName>
  </definedNames>
  <calcPr calcId="191029"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2" i="135" l="1"/>
  <c r="B71" i="135"/>
  <c r="B70" i="135"/>
  <c r="B69" i="135"/>
  <c r="B68" i="135"/>
  <c r="B67" i="135"/>
  <c r="B66" i="135"/>
  <c r="B65" i="135"/>
  <c r="B64" i="135"/>
  <c r="B63" i="135"/>
  <c r="B62" i="135"/>
  <c r="B61" i="135"/>
  <c r="B60" i="135"/>
  <c r="B59" i="135"/>
  <c r="B58" i="135"/>
  <c r="B57" i="135"/>
  <c r="B56" i="135"/>
  <c r="B55" i="135"/>
  <c r="B54" i="135"/>
  <c r="B53" i="135"/>
  <c r="W24" i="135"/>
  <c r="A2" i="135"/>
  <c r="A53" i="135" s="1"/>
  <c r="A3" i="135"/>
  <c r="A54" i="135" s="1"/>
  <c r="A4" i="135"/>
  <c r="D23" i="135" s="1"/>
  <c r="A5" i="135"/>
  <c r="A56" i="135" s="1"/>
  <c r="A6" i="135"/>
  <c r="A57" i="135" s="1"/>
  <c r="A7" i="135"/>
  <c r="G23" i="135" s="1"/>
  <c r="A8" i="135"/>
  <c r="A59" i="135" s="1"/>
  <c r="A9" i="135"/>
  <c r="A60" i="135" s="1"/>
  <c r="A10" i="135"/>
  <c r="A61" i="135" s="1"/>
  <c r="A11" i="135"/>
  <c r="A62" i="135" s="1"/>
  <c r="A12" i="135"/>
  <c r="L23" i="135" s="1"/>
  <c r="A13" i="135"/>
  <c r="A64" i="135" s="1"/>
  <c r="A14" i="135"/>
  <c r="A65" i="135" s="1"/>
  <c r="A15" i="135"/>
  <c r="O23" i="135" s="1"/>
  <c r="A16" i="135"/>
  <c r="A67" i="135" s="1"/>
  <c r="A17" i="135"/>
  <c r="A68" i="135" s="1"/>
  <c r="A18" i="135"/>
  <c r="A69" i="135" s="1"/>
  <c r="A19" i="135"/>
  <c r="A70" i="135" s="1"/>
  <c r="A20" i="135"/>
  <c r="T23" i="135" s="1"/>
  <c r="A21" i="135"/>
  <c r="A72" i="135" s="1"/>
  <c r="B2" i="135"/>
  <c r="C2" i="135"/>
  <c r="D2" i="135"/>
  <c r="E2" i="135"/>
  <c r="F2" i="135"/>
  <c r="G2" i="135"/>
  <c r="H2" i="135"/>
  <c r="I2" i="135"/>
  <c r="J2" i="135"/>
  <c r="K2" i="135"/>
  <c r="L2" i="135"/>
  <c r="M2" i="135"/>
  <c r="N2" i="135"/>
  <c r="O2" i="135"/>
  <c r="P2" i="135"/>
  <c r="Q2" i="135"/>
  <c r="R2" i="135"/>
  <c r="S2" i="135"/>
  <c r="T2" i="135"/>
  <c r="U2" i="135"/>
  <c r="V2" i="135"/>
  <c r="W2" i="135"/>
  <c r="X2" i="135"/>
  <c r="Y2" i="135"/>
  <c r="Z2" i="135"/>
  <c r="AA2" i="135"/>
  <c r="AB2" i="135"/>
  <c r="AC2" i="135"/>
  <c r="AD2" i="135"/>
  <c r="AE2" i="135"/>
  <c r="AF2" i="135"/>
  <c r="AG2" i="135"/>
  <c r="AH2" i="135"/>
  <c r="AI2" i="135"/>
  <c r="AJ2" i="135"/>
  <c r="AK2" i="135"/>
  <c r="AL2" i="135"/>
  <c r="AM2" i="135"/>
  <c r="AN2" i="135"/>
  <c r="AO2" i="135"/>
  <c r="AP2" i="135"/>
  <c r="AQ2" i="135"/>
  <c r="AR2" i="135"/>
  <c r="AS2" i="135"/>
  <c r="AT2" i="135"/>
  <c r="AU2" i="135"/>
  <c r="AV2" i="135"/>
  <c r="AW2" i="135"/>
  <c r="AX2" i="135"/>
  <c r="AY2" i="135"/>
  <c r="AZ2" i="135"/>
  <c r="BA2" i="135"/>
  <c r="BB2" i="135"/>
  <c r="BC2" i="135"/>
  <c r="BD2" i="135"/>
  <c r="BE2" i="135"/>
  <c r="BF2" i="135"/>
  <c r="BG2" i="135"/>
  <c r="BH2" i="135"/>
  <c r="BI2" i="135"/>
  <c r="B3" i="135"/>
  <c r="C3" i="135"/>
  <c r="D3" i="135"/>
  <c r="E3" i="135"/>
  <c r="F3" i="135"/>
  <c r="G3" i="135"/>
  <c r="H3" i="135"/>
  <c r="I3" i="135"/>
  <c r="J3" i="135"/>
  <c r="K3" i="135"/>
  <c r="L3" i="135"/>
  <c r="M3" i="135"/>
  <c r="N3" i="135"/>
  <c r="O3" i="135"/>
  <c r="P3" i="135"/>
  <c r="Q3" i="135"/>
  <c r="R3" i="135"/>
  <c r="S3" i="135"/>
  <c r="T3" i="135"/>
  <c r="U3" i="135"/>
  <c r="V3" i="135"/>
  <c r="W3" i="135"/>
  <c r="X3" i="135"/>
  <c r="Y3" i="135"/>
  <c r="Z3" i="135"/>
  <c r="AA3" i="135"/>
  <c r="AB3" i="135"/>
  <c r="AC3" i="135"/>
  <c r="AD3" i="135"/>
  <c r="AE3" i="135"/>
  <c r="AF3" i="135"/>
  <c r="AG3" i="135"/>
  <c r="AH3" i="135"/>
  <c r="AI3" i="135"/>
  <c r="AJ3" i="135"/>
  <c r="AK3" i="135"/>
  <c r="AL3" i="135"/>
  <c r="AM3" i="135"/>
  <c r="AN3" i="135"/>
  <c r="AO3" i="135"/>
  <c r="AP3" i="135"/>
  <c r="AQ3" i="135"/>
  <c r="AR3" i="135"/>
  <c r="AS3" i="135"/>
  <c r="AT3" i="135"/>
  <c r="AU3" i="135"/>
  <c r="AV3" i="135"/>
  <c r="AW3" i="135"/>
  <c r="AX3" i="135"/>
  <c r="AY3" i="135"/>
  <c r="AZ3" i="135"/>
  <c r="BA3" i="135"/>
  <c r="BB3" i="135"/>
  <c r="BC3" i="135"/>
  <c r="BD3" i="135"/>
  <c r="BE3" i="135"/>
  <c r="BF3" i="135"/>
  <c r="BG3" i="135"/>
  <c r="BH3" i="135"/>
  <c r="BI3" i="135"/>
  <c r="B4" i="135"/>
  <c r="C4" i="135"/>
  <c r="D4" i="135"/>
  <c r="E4" i="135"/>
  <c r="F4" i="135"/>
  <c r="G4" i="135"/>
  <c r="H4" i="135"/>
  <c r="I4" i="135"/>
  <c r="J4" i="135"/>
  <c r="K4" i="135"/>
  <c r="L4" i="135"/>
  <c r="M4" i="135"/>
  <c r="N4" i="135"/>
  <c r="O4" i="135"/>
  <c r="P4" i="135"/>
  <c r="Q4" i="135"/>
  <c r="R4" i="135"/>
  <c r="S4" i="135"/>
  <c r="T4" i="135"/>
  <c r="U4" i="135"/>
  <c r="V4" i="135"/>
  <c r="W4" i="135"/>
  <c r="X4" i="135"/>
  <c r="Y4" i="135"/>
  <c r="Z4" i="135"/>
  <c r="AA4" i="135"/>
  <c r="AB4" i="135"/>
  <c r="AC4" i="135"/>
  <c r="AD4" i="135"/>
  <c r="AE4" i="135"/>
  <c r="AF4" i="135"/>
  <c r="AG4" i="135"/>
  <c r="AH4" i="135"/>
  <c r="AI4" i="135"/>
  <c r="AJ4" i="135"/>
  <c r="AK4" i="135"/>
  <c r="AL4" i="135"/>
  <c r="AM4" i="135"/>
  <c r="AN4" i="135"/>
  <c r="AO4" i="135"/>
  <c r="AP4" i="135"/>
  <c r="AQ4" i="135"/>
  <c r="AR4" i="135"/>
  <c r="AS4" i="135"/>
  <c r="AT4" i="135"/>
  <c r="AU4" i="135"/>
  <c r="AV4" i="135"/>
  <c r="AW4" i="135"/>
  <c r="AX4" i="135"/>
  <c r="AY4" i="135"/>
  <c r="AZ4" i="135"/>
  <c r="BA4" i="135"/>
  <c r="BB4" i="135"/>
  <c r="BC4" i="135"/>
  <c r="BD4" i="135"/>
  <c r="BE4" i="135"/>
  <c r="BF4" i="135"/>
  <c r="BG4" i="135"/>
  <c r="BH4" i="135"/>
  <c r="BI4" i="135"/>
  <c r="B5" i="135"/>
  <c r="C5" i="135"/>
  <c r="D5" i="135"/>
  <c r="E5" i="135"/>
  <c r="F5" i="135"/>
  <c r="G5" i="135"/>
  <c r="H5" i="135"/>
  <c r="I5" i="135"/>
  <c r="J5" i="135"/>
  <c r="K5" i="135"/>
  <c r="L5" i="135"/>
  <c r="M5" i="135"/>
  <c r="N5" i="135"/>
  <c r="O5" i="135"/>
  <c r="P5" i="135"/>
  <c r="Q5" i="135"/>
  <c r="R5" i="135"/>
  <c r="S5" i="135"/>
  <c r="T5" i="135"/>
  <c r="U5" i="135"/>
  <c r="V5" i="135"/>
  <c r="W5" i="135"/>
  <c r="X5" i="135"/>
  <c r="Y5" i="135"/>
  <c r="Z5" i="135"/>
  <c r="AA5" i="135"/>
  <c r="AB5" i="135"/>
  <c r="AC5" i="135"/>
  <c r="AD5" i="135"/>
  <c r="AE5" i="135"/>
  <c r="AF5" i="135"/>
  <c r="AG5" i="135"/>
  <c r="AH5" i="135"/>
  <c r="AI5" i="135"/>
  <c r="AJ5" i="135"/>
  <c r="AK5" i="135"/>
  <c r="AL5" i="135"/>
  <c r="AM5" i="135"/>
  <c r="AN5" i="135"/>
  <c r="AO5" i="135"/>
  <c r="AP5" i="135"/>
  <c r="AQ5" i="135"/>
  <c r="AR5" i="135"/>
  <c r="AS5" i="135"/>
  <c r="AT5" i="135"/>
  <c r="AU5" i="135"/>
  <c r="AV5" i="135"/>
  <c r="AW5" i="135"/>
  <c r="AX5" i="135"/>
  <c r="AY5" i="135"/>
  <c r="AZ5" i="135"/>
  <c r="BA5" i="135"/>
  <c r="BB5" i="135"/>
  <c r="BC5" i="135"/>
  <c r="BD5" i="135"/>
  <c r="BE5" i="135"/>
  <c r="BF5" i="135"/>
  <c r="BG5" i="135"/>
  <c r="BH5" i="135"/>
  <c r="BI5" i="135"/>
  <c r="B6" i="135"/>
  <c r="C6" i="135"/>
  <c r="D6" i="135"/>
  <c r="E6" i="135"/>
  <c r="F6" i="135"/>
  <c r="G6" i="135"/>
  <c r="H6" i="135"/>
  <c r="I6" i="135"/>
  <c r="J6" i="135"/>
  <c r="K6" i="135"/>
  <c r="L6" i="135"/>
  <c r="M6" i="135"/>
  <c r="N6" i="135"/>
  <c r="O6" i="135"/>
  <c r="P6" i="135"/>
  <c r="Q6" i="135"/>
  <c r="R6" i="135"/>
  <c r="S6" i="135"/>
  <c r="T6" i="135"/>
  <c r="U6" i="135"/>
  <c r="V6" i="135"/>
  <c r="W6" i="135"/>
  <c r="X6" i="135"/>
  <c r="Y6" i="135"/>
  <c r="Z6" i="135"/>
  <c r="AA6" i="135"/>
  <c r="AB6" i="135"/>
  <c r="AC6" i="135"/>
  <c r="AD6" i="135"/>
  <c r="AE6" i="135"/>
  <c r="AF6" i="135"/>
  <c r="AG6" i="135"/>
  <c r="AH6" i="135"/>
  <c r="AI6" i="135"/>
  <c r="AJ6" i="135"/>
  <c r="AK6" i="135"/>
  <c r="AL6" i="135"/>
  <c r="AM6" i="135"/>
  <c r="AN6" i="135"/>
  <c r="AO6" i="135"/>
  <c r="AP6" i="135"/>
  <c r="AQ6" i="135"/>
  <c r="AR6" i="135"/>
  <c r="AS6" i="135"/>
  <c r="AT6" i="135"/>
  <c r="AU6" i="135"/>
  <c r="AV6" i="135"/>
  <c r="AW6" i="135"/>
  <c r="AX6" i="135"/>
  <c r="AY6" i="135"/>
  <c r="AZ6" i="135"/>
  <c r="BA6" i="135"/>
  <c r="BB6" i="135"/>
  <c r="BC6" i="135"/>
  <c r="BD6" i="135"/>
  <c r="BE6" i="135"/>
  <c r="BF6" i="135"/>
  <c r="BG6" i="135"/>
  <c r="BH6" i="135"/>
  <c r="BI6" i="135"/>
  <c r="B7" i="135"/>
  <c r="C7" i="135"/>
  <c r="D7" i="135"/>
  <c r="E7" i="135"/>
  <c r="F7" i="135"/>
  <c r="G7" i="135"/>
  <c r="H7" i="135"/>
  <c r="I7" i="135"/>
  <c r="J7" i="135"/>
  <c r="K7" i="135"/>
  <c r="L7" i="135"/>
  <c r="M7" i="135"/>
  <c r="N7" i="135"/>
  <c r="O7" i="135"/>
  <c r="P7" i="135"/>
  <c r="Q7" i="135"/>
  <c r="R7" i="135"/>
  <c r="S7" i="135"/>
  <c r="T7" i="135"/>
  <c r="U7" i="135"/>
  <c r="V7" i="135"/>
  <c r="W7" i="135"/>
  <c r="X7" i="135"/>
  <c r="Y7" i="135"/>
  <c r="Z7" i="135"/>
  <c r="AA7" i="135"/>
  <c r="AB7" i="135"/>
  <c r="AC7" i="135"/>
  <c r="AD7" i="135"/>
  <c r="AE7" i="135"/>
  <c r="AF7" i="135"/>
  <c r="AG7" i="135"/>
  <c r="AH7" i="135"/>
  <c r="AI7" i="135"/>
  <c r="AJ7" i="135"/>
  <c r="AK7" i="135"/>
  <c r="AL7" i="135"/>
  <c r="AM7" i="135"/>
  <c r="AN7" i="135"/>
  <c r="AO7" i="135"/>
  <c r="AP7" i="135"/>
  <c r="AQ7" i="135"/>
  <c r="AR7" i="135"/>
  <c r="AS7" i="135"/>
  <c r="AT7" i="135"/>
  <c r="AU7" i="135"/>
  <c r="AV7" i="135"/>
  <c r="AW7" i="135"/>
  <c r="AX7" i="135"/>
  <c r="AY7" i="135"/>
  <c r="AZ7" i="135"/>
  <c r="BA7" i="135"/>
  <c r="BB7" i="135"/>
  <c r="BC7" i="135"/>
  <c r="BD7" i="135"/>
  <c r="BE7" i="135"/>
  <c r="BF7" i="135"/>
  <c r="BG7" i="135"/>
  <c r="BH7" i="135"/>
  <c r="BI7" i="135"/>
  <c r="B8" i="135"/>
  <c r="C8" i="135"/>
  <c r="D8" i="135"/>
  <c r="E8" i="135"/>
  <c r="F8" i="135"/>
  <c r="G8" i="135"/>
  <c r="H8" i="135"/>
  <c r="I8" i="135"/>
  <c r="J8" i="135"/>
  <c r="K8" i="135"/>
  <c r="L8" i="135"/>
  <c r="M8" i="135"/>
  <c r="N8" i="135"/>
  <c r="O8" i="135"/>
  <c r="P8" i="135"/>
  <c r="Q8" i="135"/>
  <c r="R8" i="135"/>
  <c r="S8" i="135"/>
  <c r="T8" i="135"/>
  <c r="U8" i="135"/>
  <c r="V8" i="135"/>
  <c r="W8" i="135"/>
  <c r="X8" i="135"/>
  <c r="Y8" i="135"/>
  <c r="Z8" i="135"/>
  <c r="AA8" i="135"/>
  <c r="AB8" i="135"/>
  <c r="AC8" i="135"/>
  <c r="AD8" i="135"/>
  <c r="AE8" i="135"/>
  <c r="AF8" i="135"/>
  <c r="AG8" i="135"/>
  <c r="AH8" i="135"/>
  <c r="AI8" i="135"/>
  <c r="AJ8" i="135"/>
  <c r="AK8" i="135"/>
  <c r="AL8" i="135"/>
  <c r="AM8" i="135"/>
  <c r="AN8" i="135"/>
  <c r="AO8" i="135"/>
  <c r="AP8" i="135"/>
  <c r="AQ8" i="135"/>
  <c r="AR8" i="135"/>
  <c r="AS8" i="135"/>
  <c r="AT8" i="135"/>
  <c r="AU8" i="135"/>
  <c r="AV8" i="135"/>
  <c r="AW8" i="135"/>
  <c r="AX8" i="135"/>
  <c r="AY8" i="135"/>
  <c r="AZ8" i="135"/>
  <c r="BA8" i="135"/>
  <c r="BB8" i="135"/>
  <c r="BC8" i="135"/>
  <c r="BD8" i="135"/>
  <c r="BE8" i="135"/>
  <c r="BF8" i="135"/>
  <c r="BG8" i="135"/>
  <c r="BH8" i="135"/>
  <c r="BI8" i="135"/>
  <c r="B9" i="135"/>
  <c r="C9" i="135"/>
  <c r="D9" i="135"/>
  <c r="E9" i="135"/>
  <c r="F9" i="135"/>
  <c r="G9" i="135"/>
  <c r="H9" i="135"/>
  <c r="I9" i="135"/>
  <c r="J9" i="135"/>
  <c r="K9" i="135"/>
  <c r="L9" i="135"/>
  <c r="M9" i="135"/>
  <c r="N9" i="135"/>
  <c r="O9" i="135"/>
  <c r="P9" i="135"/>
  <c r="Q9" i="135"/>
  <c r="R9" i="135"/>
  <c r="S9" i="135"/>
  <c r="T9" i="135"/>
  <c r="U9" i="135"/>
  <c r="V9" i="135"/>
  <c r="W9" i="135"/>
  <c r="X9" i="135"/>
  <c r="Y9" i="135"/>
  <c r="Z9" i="135"/>
  <c r="AA9" i="135"/>
  <c r="AB9" i="135"/>
  <c r="AC9" i="135"/>
  <c r="AD9" i="135"/>
  <c r="AE9" i="135"/>
  <c r="AF9" i="135"/>
  <c r="AG9" i="135"/>
  <c r="AH9" i="135"/>
  <c r="AI9" i="135"/>
  <c r="AJ9" i="135"/>
  <c r="AK9" i="135"/>
  <c r="AL9" i="135"/>
  <c r="AM9" i="135"/>
  <c r="AN9" i="135"/>
  <c r="AO9" i="135"/>
  <c r="AP9" i="135"/>
  <c r="AQ9" i="135"/>
  <c r="AR9" i="135"/>
  <c r="AS9" i="135"/>
  <c r="AT9" i="135"/>
  <c r="AU9" i="135"/>
  <c r="AV9" i="135"/>
  <c r="AW9" i="135"/>
  <c r="AX9" i="135"/>
  <c r="AY9" i="135"/>
  <c r="AZ9" i="135"/>
  <c r="BA9" i="135"/>
  <c r="BB9" i="135"/>
  <c r="BC9" i="135"/>
  <c r="BD9" i="135"/>
  <c r="BE9" i="135"/>
  <c r="BF9" i="135"/>
  <c r="BG9" i="135"/>
  <c r="BH9" i="135"/>
  <c r="BI9" i="135"/>
  <c r="B10" i="135"/>
  <c r="C10" i="135"/>
  <c r="D10" i="135"/>
  <c r="E10" i="135"/>
  <c r="F10" i="135"/>
  <c r="G10" i="135"/>
  <c r="H10" i="135"/>
  <c r="I10" i="135"/>
  <c r="J10" i="135"/>
  <c r="K10" i="135"/>
  <c r="L10" i="135"/>
  <c r="M10" i="135"/>
  <c r="N10" i="135"/>
  <c r="O10" i="135"/>
  <c r="P10" i="135"/>
  <c r="Q10" i="135"/>
  <c r="R10" i="135"/>
  <c r="S10" i="135"/>
  <c r="T10" i="135"/>
  <c r="U10" i="135"/>
  <c r="V10" i="135"/>
  <c r="W10" i="135"/>
  <c r="X10" i="135"/>
  <c r="Y10" i="135"/>
  <c r="Z10" i="135"/>
  <c r="AA10" i="135"/>
  <c r="AB10" i="135"/>
  <c r="AC10" i="135"/>
  <c r="AD10" i="135"/>
  <c r="AE10" i="135"/>
  <c r="AF10" i="135"/>
  <c r="AG10" i="135"/>
  <c r="AH10" i="135"/>
  <c r="AI10" i="135"/>
  <c r="AJ10" i="135"/>
  <c r="AK10" i="135"/>
  <c r="AL10" i="135"/>
  <c r="AM10" i="135"/>
  <c r="AN10" i="135"/>
  <c r="AO10" i="135"/>
  <c r="AP10" i="135"/>
  <c r="AQ10" i="135"/>
  <c r="AR10" i="135"/>
  <c r="AS10" i="135"/>
  <c r="AT10" i="135"/>
  <c r="AU10" i="135"/>
  <c r="AV10" i="135"/>
  <c r="AW10" i="135"/>
  <c r="AX10" i="135"/>
  <c r="AY10" i="135"/>
  <c r="AZ10" i="135"/>
  <c r="BA10" i="135"/>
  <c r="BB10" i="135"/>
  <c r="BC10" i="135"/>
  <c r="BD10" i="135"/>
  <c r="BE10" i="135"/>
  <c r="BF10" i="135"/>
  <c r="BG10" i="135"/>
  <c r="BH10" i="135"/>
  <c r="BI10" i="135"/>
  <c r="B11" i="135"/>
  <c r="C11" i="135"/>
  <c r="D11" i="135"/>
  <c r="E11" i="135"/>
  <c r="F11" i="135"/>
  <c r="G11" i="135"/>
  <c r="H11" i="135"/>
  <c r="I11" i="135"/>
  <c r="J11" i="135"/>
  <c r="K11" i="135"/>
  <c r="L11" i="135"/>
  <c r="M11" i="135"/>
  <c r="N11" i="135"/>
  <c r="O11" i="135"/>
  <c r="P11" i="135"/>
  <c r="Q11" i="135"/>
  <c r="R11" i="135"/>
  <c r="S11" i="135"/>
  <c r="T11" i="135"/>
  <c r="U11" i="135"/>
  <c r="V11" i="135"/>
  <c r="W11" i="135"/>
  <c r="X11" i="135"/>
  <c r="Y11" i="135"/>
  <c r="Z11" i="135"/>
  <c r="AA11" i="135"/>
  <c r="AB11" i="135"/>
  <c r="AC11" i="135"/>
  <c r="AD11" i="135"/>
  <c r="AE11" i="135"/>
  <c r="AF11" i="135"/>
  <c r="AG11" i="135"/>
  <c r="AH11" i="135"/>
  <c r="AI11" i="135"/>
  <c r="AJ11" i="135"/>
  <c r="AK11" i="135"/>
  <c r="AL11" i="135"/>
  <c r="AM11" i="135"/>
  <c r="AN11" i="135"/>
  <c r="AO11" i="135"/>
  <c r="AP11" i="135"/>
  <c r="AQ11" i="135"/>
  <c r="AR11" i="135"/>
  <c r="AS11" i="135"/>
  <c r="AT11" i="135"/>
  <c r="AU11" i="135"/>
  <c r="AV11" i="135"/>
  <c r="AW11" i="135"/>
  <c r="AX11" i="135"/>
  <c r="AY11" i="135"/>
  <c r="AZ11" i="135"/>
  <c r="BA11" i="135"/>
  <c r="BB11" i="135"/>
  <c r="BC11" i="135"/>
  <c r="BD11" i="135"/>
  <c r="BE11" i="135"/>
  <c r="BF11" i="135"/>
  <c r="BG11" i="135"/>
  <c r="BH11" i="135"/>
  <c r="BI11" i="135"/>
  <c r="B12" i="135"/>
  <c r="C12" i="135"/>
  <c r="D12" i="135"/>
  <c r="E12" i="135"/>
  <c r="F12" i="135"/>
  <c r="G12" i="135"/>
  <c r="H12" i="135"/>
  <c r="I12" i="135"/>
  <c r="J12" i="135"/>
  <c r="K12" i="135"/>
  <c r="L12" i="135"/>
  <c r="M12" i="135"/>
  <c r="N12" i="135"/>
  <c r="O12" i="135"/>
  <c r="P12" i="135"/>
  <c r="Q12" i="135"/>
  <c r="R12" i="135"/>
  <c r="S12" i="135"/>
  <c r="T12" i="135"/>
  <c r="U12" i="135"/>
  <c r="V12" i="135"/>
  <c r="W12" i="135"/>
  <c r="X12" i="135"/>
  <c r="Y12" i="135"/>
  <c r="Z12" i="135"/>
  <c r="AA12" i="135"/>
  <c r="AB12" i="135"/>
  <c r="AC12" i="135"/>
  <c r="AD12" i="135"/>
  <c r="AE12" i="135"/>
  <c r="AF12" i="135"/>
  <c r="AG12" i="135"/>
  <c r="AH12" i="135"/>
  <c r="AI12" i="135"/>
  <c r="AJ12" i="135"/>
  <c r="AK12" i="135"/>
  <c r="AL12" i="135"/>
  <c r="AM12" i="135"/>
  <c r="AN12" i="135"/>
  <c r="AO12" i="135"/>
  <c r="AP12" i="135"/>
  <c r="AQ12" i="135"/>
  <c r="AR12" i="135"/>
  <c r="AS12" i="135"/>
  <c r="AT12" i="135"/>
  <c r="AU12" i="135"/>
  <c r="AV12" i="135"/>
  <c r="AW12" i="135"/>
  <c r="AX12" i="135"/>
  <c r="AY12" i="135"/>
  <c r="AZ12" i="135"/>
  <c r="BA12" i="135"/>
  <c r="BB12" i="135"/>
  <c r="BC12" i="135"/>
  <c r="BD12" i="135"/>
  <c r="BE12" i="135"/>
  <c r="BF12" i="135"/>
  <c r="BG12" i="135"/>
  <c r="BH12" i="135"/>
  <c r="BI12" i="135"/>
  <c r="B13" i="135"/>
  <c r="C13" i="135"/>
  <c r="D13" i="135"/>
  <c r="E13" i="135"/>
  <c r="F13" i="135"/>
  <c r="G13" i="135"/>
  <c r="H13" i="135"/>
  <c r="I13" i="135"/>
  <c r="J13" i="135"/>
  <c r="K13" i="135"/>
  <c r="L13" i="135"/>
  <c r="M13" i="135"/>
  <c r="N13" i="135"/>
  <c r="O13" i="135"/>
  <c r="P13" i="135"/>
  <c r="Q13" i="135"/>
  <c r="R13" i="135"/>
  <c r="S13" i="135"/>
  <c r="T13" i="135"/>
  <c r="U13" i="135"/>
  <c r="V13" i="135"/>
  <c r="W13" i="135"/>
  <c r="X13" i="135"/>
  <c r="Y13" i="135"/>
  <c r="Z13" i="135"/>
  <c r="AA13" i="135"/>
  <c r="AB13" i="135"/>
  <c r="AC13" i="135"/>
  <c r="AD13" i="135"/>
  <c r="AE13" i="135"/>
  <c r="AF13" i="135"/>
  <c r="AG13" i="135"/>
  <c r="AH13" i="135"/>
  <c r="AI13" i="135"/>
  <c r="AJ13" i="135"/>
  <c r="AK13" i="135"/>
  <c r="AL13" i="135"/>
  <c r="AM13" i="135"/>
  <c r="AN13" i="135"/>
  <c r="AO13" i="135"/>
  <c r="AP13" i="135"/>
  <c r="AQ13" i="135"/>
  <c r="AR13" i="135"/>
  <c r="AS13" i="135"/>
  <c r="AT13" i="135"/>
  <c r="AU13" i="135"/>
  <c r="AV13" i="135"/>
  <c r="AW13" i="135"/>
  <c r="AX13" i="135"/>
  <c r="AY13" i="135"/>
  <c r="AZ13" i="135"/>
  <c r="BA13" i="135"/>
  <c r="BB13" i="135"/>
  <c r="BC13" i="135"/>
  <c r="BD13" i="135"/>
  <c r="BE13" i="135"/>
  <c r="BF13" i="135"/>
  <c r="BG13" i="135"/>
  <c r="BH13" i="135"/>
  <c r="BI13" i="135"/>
  <c r="B14" i="135"/>
  <c r="C14" i="135"/>
  <c r="D14" i="135"/>
  <c r="E14" i="135"/>
  <c r="F14" i="135"/>
  <c r="G14" i="135"/>
  <c r="H14" i="135"/>
  <c r="I14" i="135"/>
  <c r="J14" i="135"/>
  <c r="K14" i="135"/>
  <c r="L14" i="135"/>
  <c r="M14" i="135"/>
  <c r="N14" i="135"/>
  <c r="O14" i="135"/>
  <c r="P14" i="135"/>
  <c r="Q14" i="135"/>
  <c r="R14" i="135"/>
  <c r="S14" i="135"/>
  <c r="T14" i="135"/>
  <c r="U14" i="135"/>
  <c r="V14" i="135"/>
  <c r="W14" i="135"/>
  <c r="X14" i="135"/>
  <c r="Y14" i="135"/>
  <c r="Z14" i="135"/>
  <c r="AA14" i="135"/>
  <c r="AB14" i="135"/>
  <c r="AC14" i="135"/>
  <c r="AD14" i="135"/>
  <c r="AE14" i="135"/>
  <c r="AF14" i="135"/>
  <c r="AG14" i="135"/>
  <c r="AH14" i="135"/>
  <c r="AI14" i="135"/>
  <c r="AJ14" i="135"/>
  <c r="AK14" i="135"/>
  <c r="AL14" i="135"/>
  <c r="AM14" i="135"/>
  <c r="AN14" i="135"/>
  <c r="AO14" i="135"/>
  <c r="AP14" i="135"/>
  <c r="AQ14" i="135"/>
  <c r="AR14" i="135"/>
  <c r="AS14" i="135"/>
  <c r="AT14" i="135"/>
  <c r="AU14" i="135"/>
  <c r="AV14" i="135"/>
  <c r="AW14" i="135"/>
  <c r="AX14" i="135"/>
  <c r="AY14" i="135"/>
  <c r="AZ14" i="135"/>
  <c r="BA14" i="135"/>
  <c r="BB14" i="135"/>
  <c r="BC14" i="135"/>
  <c r="BD14" i="135"/>
  <c r="BE14" i="135"/>
  <c r="BF14" i="135"/>
  <c r="BG14" i="135"/>
  <c r="BH14" i="135"/>
  <c r="BI14" i="135"/>
  <c r="B15" i="135"/>
  <c r="C15" i="135"/>
  <c r="D15" i="135"/>
  <c r="E15" i="135"/>
  <c r="F15" i="135"/>
  <c r="G15" i="135"/>
  <c r="H15" i="135"/>
  <c r="I15" i="135"/>
  <c r="J15" i="135"/>
  <c r="K15" i="135"/>
  <c r="L15" i="135"/>
  <c r="M15" i="135"/>
  <c r="N15" i="135"/>
  <c r="O15" i="135"/>
  <c r="P15" i="135"/>
  <c r="Q15" i="135"/>
  <c r="R15" i="135"/>
  <c r="S15" i="135"/>
  <c r="T15" i="135"/>
  <c r="U15" i="135"/>
  <c r="V15" i="135"/>
  <c r="W15" i="135"/>
  <c r="X15" i="135"/>
  <c r="Y15" i="135"/>
  <c r="Z15" i="135"/>
  <c r="AA15" i="135"/>
  <c r="AB15" i="135"/>
  <c r="AC15" i="135"/>
  <c r="AD15" i="135"/>
  <c r="AE15" i="135"/>
  <c r="AF15" i="135"/>
  <c r="AG15" i="135"/>
  <c r="AH15" i="135"/>
  <c r="AI15" i="135"/>
  <c r="AJ15" i="135"/>
  <c r="AK15" i="135"/>
  <c r="AL15" i="135"/>
  <c r="AM15" i="135"/>
  <c r="AN15" i="135"/>
  <c r="AO15" i="135"/>
  <c r="AP15" i="135"/>
  <c r="AQ15" i="135"/>
  <c r="AR15" i="135"/>
  <c r="AS15" i="135"/>
  <c r="AT15" i="135"/>
  <c r="AU15" i="135"/>
  <c r="AV15" i="135"/>
  <c r="AW15" i="135"/>
  <c r="AX15" i="135"/>
  <c r="AY15" i="135"/>
  <c r="AZ15" i="135"/>
  <c r="BA15" i="135"/>
  <c r="BB15" i="135"/>
  <c r="BC15" i="135"/>
  <c r="BD15" i="135"/>
  <c r="BE15" i="135"/>
  <c r="BF15" i="135"/>
  <c r="BG15" i="135"/>
  <c r="BH15" i="135"/>
  <c r="BI15" i="135"/>
  <c r="B16" i="135"/>
  <c r="C16" i="135"/>
  <c r="D16" i="135"/>
  <c r="E16" i="135"/>
  <c r="F16" i="135"/>
  <c r="G16" i="135"/>
  <c r="H16" i="135"/>
  <c r="I16" i="135"/>
  <c r="J16" i="135"/>
  <c r="K16" i="135"/>
  <c r="L16" i="135"/>
  <c r="M16" i="135"/>
  <c r="N16" i="135"/>
  <c r="O16" i="135"/>
  <c r="P16" i="135"/>
  <c r="Q16" i="135"/>
  <c r="R16" i="135"/>
  <c r="S16" i="135"/>
  <c r="T16" i="135"/>
  <c r="U16" i="135"/>
  <c r="V16" i="135"/>
  <c r="W16" i="135"/>
  <c r="X16" i="135"/>
  <c r="Y16" i="135"/>
  <c r="Z16" i="135"/>
  <c r="AA16" i="135"/>
  <c r="AB16" i="135"/>
  <c r="AC16" i="135"/>
  <c r="AD16" i="135"/>
  <c r="AE16" i="135"/>
  <c r="AF16" i="135"/>
  <c r="AG16" i="135"/>
  <c r="AH16" i="135"/>
  <c r="AI16" i="135"/>
  <c r="AJ16" i="135"/>
  <c r="AK16" i="135"/>
  <c r="AL16" i="135"/>
  <c r="AM16" i="135"/>
  <c r="AN16" i="135"/>
  <c r="AO16" i="135"/>
  <c r="AP16" i="135"/>
  <c r="AQ16" i="135"/>
  <c r="AR16" i="135"/>
  <c r="AS16" i="135"/>
  <c r="AT16" i="135"/>
  <c r="AU16" i="135"/>
  <c r="AV16" i="135"/>
  <c r="AW16" i="135"/>
  <c r="AX16" i="135"/>
  <c r="AY16" i="135"/>
  <c r="AZ16" i="135"/>
  <c r="BA16" i="135"/>
  <c r="BB16" i="135"/>
  <c r="BC16" i="135"/>
  <c r="BD16" i="135"/>
  <c r="BE16" i="135"/>
  <c r="BF16" i="135"/>
  <c r="BG16" i="135"/>
  <c r="BH16" i="135"/>
  <c r="BI16" i="135"/>
  <c r="B17" i="135"/>
  <c r="C17" i="135"/>
  <c r="D17" i="135"/>
  <c r="E17" i="135"/>
  <c r="F17" i="135"/>
  <c r="G17" i="135"/>
  <c r="H17" i="135"/>
  <c r="I17" i="135"/>
  <c r="J17" i="135"/>
  <c r="K17" i="135"/>
  <c r="L17" i="135"/>
  <c r="M17" i="135"/>
  <c r="N17" i="135"/>
  <c r="O17" i="135"/>
  <c r="P17" i="135"/>
  <c r="Q17" i="135"/>
  <c r="R17" i="135"/>
  <c r="S17" i="135"/>
  <c r="T17" i="135"/>
  <c r="U17" i="135"/>
  <c r="V17" i="135"/>
  <c r="W17" i="135"/>
  <c r="X17" i="135"/>
  <c r="Y17" i="135"/>
  <c r="Z17" i="135"/>
  <c r="AA17" i="135"/>
  <c r="AB17" i="135"/>
  <c r="AC17" i="135"/>
  <c r="AD17" i="135"/>
  <c r="AE17" i="135"/>
  <c r="AF17" i="135"/>
  <c r="AG17" i="135"/>
  <c r="AH17" i="135"/>
  <c r="AI17" i="135"/>
  <c r="AJ17" i="135"/>
  <c r="AK17" i="135"/>
  <c r="AL17" i="135"/>
  <c r="AM17" i="135"/>
  <c r="AN17" i="135"/>
  <c r="AO17" i="135"/>
  <c r="AP17" i="135"/>
  <c r="AQ17" i="135"/>
  <c r="AR17" i="135"/>
  <c r="AS17" i="135"/>
  <c r="AT17" i="135"/>
  <c r="AU17" i="135"/>
  <c r="AV17" i="135"/>
  <c r="AW17" i="135"/>
  <c r="AX17" i="135"/>
  <c r="AY17" i="135"/>
  <c r="AZ17" i="135"/>
  <c r="BA17" i="135"/>
  <c r="BB17" i="135"/>
  <c r="BC17" i="135"/>
  <c r="BD17" i="135"/>
  <c r="BE17" i="135"/>
  <c r="BF17" i="135"/>
  <c r="BG17" i="135"/>
  <c r="BH17" i="135"/>
  <c r="BI17" i="135"/>
  <c r="B18" i="135"/>
  <c r="C18" i="135"/>
  <c r="D18" i="135"/>
  <c r="E18" i="135"/>
  <c r="F18" i="135"/>
  <c r="G18" i="135"/>
  <c r="H18" i="135"/>
  <c r="I18" i="135"/>
  <c r="J18" i="135"/>
  <c r="K18" i="135"/>
  <c r="L18" i="135"/>
  <c r="M18" i="135"/>
  <c r="N18" i="135"/>
  <c r="O18" i="135"/>
  <c r="P18" i="135"/>
  <c r="Q18" i="135"/>
  <c r="R18" i="135"/>
  <c r="S18" i="135"/>
  <c r="T18" i="135"/>
  <c r="U18" i="135"/>
  <c r="V18" i="135"/>
  <c r="W18" i="135"/>
  <c r="X18" i="135"/>
  <c r="Y18" i="135"/>
  <c r="Z18" i="135"/>
  <c r="AA18" i="135"/>
  <c r="AB18" i="135"/>
  <c r="AC18" i="135"/>
  <c r="AD18" i="135"/>
  <c r="AE18" i="135"/>
  <c r="AF18" i="135"/>
  <c r="AG18" i="135"/>
  <c r="AH18" i="135"/>
  <c r="AI18" i="135"/>
  <c r="AJ18" i="135"/>
  <c r="AK18" i="135"/>
  <c r="AL18" i="135"/>
  <c r="AM18" i="135"/>
  <c r="AN18" i="135"/>
  <c r="AO18" i="135"/>
  <c r="AP18" i="135"/>
  <c r="AQ18" i="135"/>
  <c r="AR18" i="135"/>
  <c r="AS18" i="135"/>
  <c r="AT18" i="135"/>
  <c r="AU18" i="135"/>
  <c r="AV18" i="135"/>
  <c r="AW18" i="135"/>
  <c r="AX18" i="135"/>
  <c r="AY18" i="135"/>
  <c r="AZ18" i="135"/>
  <c r="BA18" i="135"/>
  <c r="BB18" i="135"/>
  <c r="BC18" i="135"/>
  <c r="BD18" i="135"/>
  <c r="BE18" i="135"/>
  <c r="BF18" i="135"/>
  <c r="BG18" i="135"/>
  <c r="BH18" i="135"/>
  <c r="BI18" i="135"/>
  <c r="B19" i="135"/>
  <c r="C19" i="135"/>
  <c r="D19" i="135"/>
  <c r="E19" i="135"/>
  <c r="F19" i="135"/>
  <c r="G19" i="135"/>
  <c r="H19" i="135"/>
  <c r="I19" i="135"/>
  <c r="J19" i="135"/>
  <c r="K19" i="135"/>
  <c r="L19" i="135"/>
  <c r="M19" i="135"/>
  <c r="N19" i="135"/>
  <c r="O19" i="135"/>
  <c r="P19" i="135"/>
  <c r="Q19" i="135"/>
  <c r="R19" i="135"/>
  <c r="S19" i="135"/>
  <c r="T19" i="135"/>
  <c r="U19" i="135"/>
  <c r="V19" i="135"/>
  <c r="W19" i="135"/>
  <c r="X19" i="135"/>
  <c r="Y19" i="135"/>
  <c r="Z19" i="135"/>
  <c r="AA19" i="135"/>
  <c r="AB19" i="135"/>
  <c r="AC19" i="135"/>
  <c r="AD19" i="135"/>
  <c r="AE19" i="135"/>
  <c r="AF19" i="135"/>
  <c r="AG19" i="135"/>
  <c r="AH19" i="135"/>
  <c r="AI19" i="135"/>
  <c r="AJ19" i="135"/>
  <c r="AK19" i="135"/>
  <c r="AL19" i="135"/>
  <c r="AM19" i="135"/>
  <c r="AN19" i="135"/>
  <c r="AO19" i="135"/>
  <c r="AP19" i="135"/>
  <c r="AQ19" i="135"/>
  <c r="AR19" i="135"/>
  <c r="AS19" i="135"/>
  <c r="AT19" i="135"/>
  <c r="AU19" i="135"/>
  <c r="AV19" i="135"/>
  <c r="AW19" i="135"/>
  <c r="AX19" i="135"/>
  <c r="AY19" i="135"/>
  <c r="AZ19" i="135"/>
  <c r="BA19" i="135"/>
  <c r="BB19" i="135"/>
  <c r="BC19" i="135"/>
  <c r="BD19" i="135"/>
  <c r="BE19" i="135"/>
  <c r="BF19" i="135"/>
  <c r="BG19" i="135"/>
  <c r="BH19" i="135"/>
  <c r="BI19" i="135"/>
  <c r="B20" i="135"/>
  <c r="C20" i="135"/>
  <c r="D20" i="135"/>
  <c r="E20" i="135"/>
  <c r="F20" i="135"/>
  <c r="G20" i="135"/>
  <c r="H20" i="135"/>
  <c r="I20" i="135"/>
  <c r="J20" i="135"/>
  <c r="K20" i="135"/>
  <c r="L20" i="135"/>
  <c r="M20" i="135"/>
  <c r="N20" i="135"/>
  <c r="O20" i="135"/>
  <c r="P20" i="135"/>
  <c r="Q20" i="135"/>
  <c r="R20" i="135"/>
  <c r="S20" i="135"/>
  <c r="T20" i="135"/>
  <c r="U20" i="135"/>
  <c r="V20" i="135"/>
  <c r="W20" i="135"/>
  <c r="X20" i="135"/>
  <c r="Y20" i="135"/>
  <c r="Z20" i="135"/>
  <c r="AA20" i="135"/>
  <c r="AB20" i="135"/>
  <c r="AC20" i="135"/>
  <c r="AD20" i="135"/>
  <c r="AE20" i="135"/>
  <c r="AF20" i="135"/>
  <c r="AG20" i="135"/>
  <c r="AH20" i="135"/>
  <c r="AI20" i="135"/>
  <c r="AJ20" i="135"/>
  <c r="AK20" i="135"/>
  <c r="AL20" i="135"/>
  <c r="AM20" i="135"/>
  <c r="AN20" i="135"/>
  <c r="AO20" i="135"/>
  <c r="AP20" i="135"/>
  <c r="AQ20" i="135"/>
  <c r="AR20" i="135"/>
  <c r="AS20" i="135"/>
  <c r="AT20" i="135"/>
  <c r="AU20" i="135"/>
  <c r="AV20" i="135"/>
  <c r="AW20" i="135"/>
  <c r="AX20" i="135"/>
  <c r="AY20" i="135"/>
  <c r="AZ20" i="135"/>
  <c r="BA20" i="135"/>
  <c r="BB20" i="135"/>
  <c r="BC20" i="135"/>
  <c r="BD20" i="135"/>
  <c r="BE20" i="135"/>
  <c r="BF20" i="135"/>
  <c r="BG20" i="135"/>
  <c r="BH20" i="135"/>
  <c r="BI20" i="135"/>
  <c r="B21" i="135"/>
  <c r="C21" i="135"/>
  <c r="D21" i="135"/>
  <c r="E21" i="135"/>
  <c r="F21" i="135"/>
  <c r="G21" i="135"/>
  <c r="H21" i="135"/>
  <c r="I21" i="135"/>
  <c r="J21" i="135"/>
  <c r="K21" i="135"/>
  <c r="L21" i="135"/>
  <c r="M21" i="135"/>
  <c r="N21" i="135"/>
  <c r="O21" i="135"/>
  <c r="P21" i="135"/>
  <c r="Q21" i="135"/>
  <c r="R21" i="135"/>
  <c r="S21" i="135"/>
  <c r="T21" i="135"/>
  <c r="U21" i="135"/>
  <c r="V21" i="135"/>
  <c r="W21" i="135"/>
  <c r="X21" i="135"/>
  <c r="Y21" i="135"/>
  <c r="Z21" i="135"/>
  <c r="AA21" i="135"/>
  <c r="AB21" i="135"/>
  <c r="AC21" i="135"/>
  <c r="AD21" i="135"/>
  <c r="AE21" i="135"/>
  <c r="AF21" i="135"/>
  <c r="AG21" i="135"/>
  <c r="AH21" i="135"/>
  <c r="AI21" i="135"/>
  <c r="AJ21" i="135"/>
  <c r="AK21" i="135"/>
  <c r="AL21" i="135"/>
  <c r="AM21" i="135"/>
  <c r="AN21" i="135"/>
  <c r="AO21" i="135"/>
  <c r="AP21" i="135"/>
  <c r="AQ21" i="135"/>
  <c r="AR21" i="135"/>
  <c r="AS21" i="135"/>
  <c r="AT21" i="135"/>
  <c r="AU21" i="135"/>
  <c r="AV21" i="135"/>
  <c r="AW21" i="135"/>
  <c r="AX21" i="135"/>
  <c r="AY21" i="135"/>
  <c r="AZ21" i="135"/>
  <c r="BA21" i="135"/>
  <c r="BB21" i="135"/>
  <c r="BC21" i="135"/>
  <c r="BD21" i="135"/>
  <c r="BE21" i="135"/>
  <c r="BF21" i="135"/>
  <c r="BG21" i="135"/>
  <c r="BH21" i="135"/>
  <c r="BI21" i="135"/>
  <c r="B23" i="135" l="1"/>
  <c r="E77" i="135" s="1"/>
  <c r="C23" i="135"/>
  <c r="F77" i="135" s="1"/>
  <c r="BK12" i="135"/>
  <c r="BL8" i="135"/>
  <c r="BK4" i="135"/>
  <c r="B30" i="135"/>
  <c r="BL20" i="135"/>
  <c r="B46" i="135"/>
  <c r="BK16" i="135"/>
  <c r="E42" i="135"/>
  <c r="BL12" i="135"/>
  <c r="C38" i="135"/>
  <c r="BK8" i="135"/>
  <c r="F43" i="135"/>
  <c r="D34" i="135"/>
  <c r="B49" i="135"/>
  <c r="T33" i="135"/>
  <c r="R33" i="135"/>
  <c r="P33" i="135"/>
  <c r="N33" i="135"/>
  <c r="L33" i="135"/>
  <c r="J33" i="135"/>
  <c r="H33" i="135"/>
  <c r="F33" i="135"/>
  <c r="D33" i="135"/>
  <c r="G30" i="135"/>
  <c r="F23" i="135"/>
  <c r="I77" i="135" s="1"/>
  <c r="BK9" i="135"/>
  <c r="BL5" i="135"/>
  <c r="BK3" i="135"/>
  <c r="J23" i="135"/>
  <c r="M77" i="135" s="1"/>
  <c r="BL21" i="135"/>
  <c r="BK19" i="135"/>
  <c r="BK17" i="135"/>
  <c r="BL15" i="135"/>
  <c r="BL13" i="135"/>
  <c r="BK11" i="135"/>
  <c r="BL7" i="135"/>
  <c r="C31" i="135"/>
  <c r="K23" i="135"/>
  <c r="N77" i="135" s="1"/>
  <c r="E49" i="135"/>
  <c r="BL19" i="135"/>
  <c r="BK15" i="135"/>
  <c r="BL11" i="135"/>
  <c r="BK7" i="135"/>
  <c r="E37" i="135"/>
  <c r="C37" i="135"/>
  <c r="N23" i="135"/>
  <c r="Q77" i="135" s="1"/>
  <c r="U37" i="135"/>
  <c r="S37" i="135"/>
  <c r="Q37" i="135"/>
  <c r="O37" i="135"/>
  <c r="K37" i="135"/>
  <c r="I37" i="135"/>
  <c r="G37" i="135"/>
  <c r="E32" i="135"/>
  <c r="C35" i="135"/>
  <c r="R23" i="135"/>
  <c r="U77" i="135" s="1"/>
  <c r="M37" i="135"/>
  <c r="S23" i="135"/>
  <c r="V77" i="135" s="1"/>
  <c r="W77" i="135"/>
  <c r="T29" i="135"/>
  <c r="O77" i="135"/>
  <c r="L29" i="135"/>
  <c r="G77" i="135"/>
  <c r="D29" i="135"/>
  <c r="R77" i="135"/>
  <c r="O29" i="135"/>
  <c r="J77" i="135"/>
  <c r="G29" i="135"/>
  <c r="C46" i="135"/>
  <c r="B33" i="135"/>
  <c r="BK14" i="135"/>
  <c r="BK6" i="135"/>
  <c r="BL18" i="135"/>
  <c r="BL10" i="135"/>
  <c r="BL2" i="135"/>
  <c r="H23" i="135"/>
  <c r="P23" i="135"/>
  <c r="B48" i="135"/>
  <c r="B40" i="135"/>
  <c r="B32" i="135"/>
  <c r="C44" i="135"/>
  <c r="C36" i="135"/>
  <c r="D48" i="135"/>
  <c r="D40" i="135"/>
  <c r="D32" i="135"/>
  <c r="E44" i="135"/>
  <c r="E36" i="135"/>
  <c r="F48" i="135"/>
  <c r="F40" i="135"/>
  <c r="F32" i="135"/>
  <c r="G44" i="135"/>
  <c r="G36" i="135"/>
  <c r="H48" i="135"/>
  <c r="H40" i="135"/>
  <c r="H32" i="135"/>
  <c r="I44" i="135"/>
  <c r="I36" i="135"/>
  <c r="J48" i="135"/>
  <c r="J40" i="135"/>
  <c r="J32" i="135"/>
  <c r="K44" i="135"/>
  <c r="K36" i="135"/>
  <c r="L48" i="135"/>
  <c r="L40" i="135"/>
  <c r="L32" i="135"/>
  <c r="M44" i="135"/>
  <c r="M36" i="135"/>
  <c r="N48" i="135"/>
  <c r="N40" i="135"/>
  <c r="N32" i="135"/>
  <c r="O44" i="135"/>
  <c r="O36" i="135"/>
  <c r="P48" i="135"/>
  <c r="P40" i="135"/>
  <c r="P32" i="135"/>
  <c r="Q44" i="135"/>
  <c r="Q36" i="135"/>
  <c r="R48" i="135"/>
  <c r="R40" i="135"/>
  <c r="R32" i="135"/>
  <c r="S44" i="135"/>
  <c r="S36" i="135"/>
  <c r="T48" i="135"/>
  <c r="T40" i="135"/>
  <c r="T32" i="135"/>
  <c r="U44" i="135"/>
  <c r="U36" i="135"/>
  <c r="A48" i="135"/>
  <c r="A40" i="135"/>
  <c r="A32" i="135"/>
  <c r="A71" i="135"/>
  <c r="A63" i="135"/>
  <c r="A55" i="135"/>
  <c r="B34" i="135"/>
  <c r="B41" i="135"/>
  <c r="BK21" i="135"/>
  <c r="BK13" i="135"/>
  <c r="BK5" i="135"/>
  <c r="BL17" i="135"/>
  <c r="BL9" i="135"/>
  <c r="I23" i="135"/>
  <c r="Q23" i="135"/>
  <c r="B47" i="135"/>
  <c r="B39" i="135"/>
  <c r="B31" i="135"/>
  <c r="C43" i="135"/>
  <c r="D47" i="135"/>
  <c r="D39" i="135"/>
  <c r="D31" i="135"/>
  <c r="E43" i="135"/>
  <c r="E35" i="135"/>
  <c r="F47" i="135"/>
  <c r="F39" i="135"/>
  <c r="F31" i="135"/>
  <c r="G43" i="135"/>
  <c r="G35" i="135"/>
  <c r="H47" i="135"/>
  <c r="H39" i="135"/>
  <c r="H31" i="135"/>
  <c r="I43" i="135"/>
  <c r="I35" i="135"/>
  <c r="J47" i="135"/>
  <c r="J39" i="135"/>
  <c r="J31" i="135"/>
  <c r="K43" i="135"/>
  <c r="K35" i="135"/>
  <c r="L47" i="135"/>
  <c r="L39" i="135"/>
  <c r="L31" i="135"/>
  <c r="M43" i="135"/>
  <c r="M35" i="135"/>
  <c r="N47" i="135"/>
  <c r="N39" i="135"/>
  <c r="N31" i="135"/>
  <c r="O43" i="135"/>
  <c r="O35" i="135"/>
  <c r="P47" i="135"/>
  <c r="P39" i="135"/>
  <c r="P31" i="135"/>
  <c r="Q43" i="135"/>
  <c r="Q35" i="135"/>
  <c r="R47" i="135"/>
  <c r="R39" i="135"/>
  <c r="R31" i="135"/>
  <c r="S43" i="135"/>
  <c r="S35" i="135"/>
  <c r="T47" i="135"/>
  <c r="T39" i="135"/>
  <c r="T31" i="135"/>
  <c r="U43" i="135"/>
  <c r="U35" i="135"/>
  <c r="A47" i="135"/>
  <c r="A39" i="135"/>
  <c r="A31" i="135"/>
  <c r="BK20" i="135"/>
  <c r="BL16" i="135"/>
  <c r="B38" i="135"/>
  <c r="C42" i="135"/>
  <c r="C34" i="135"/>
  <c r="D46" i="135"/>
  <c r="D38" i="135"/>
  <c r="D30" i="135"/>
  <c r="E34" i="135"/>
  <c r="F46" i="135"/>
  <c r="F38" i="135"/>
  <c r="F30" i="135"/>
  <c r="G42" i="135"/>
  <c r="G34" i="135"/>
  <c r="H46" i="135"/>
  <c r="H38" i="135"/>
  <c r="H30" i="135"/>
  <c r="I42" i="135"/>
  <c r="I34" i="135"/>
  <c r="J46" i="135"/>
  <c r="J38" i="135"/>
  <c r="J30" i="135"/>
  <c r="K42" i="135"/>
  <c r="K34" i="135"/>
  <c r="L46" i="135"/>
  <c r="L38" i="135"/>
  <c r="L30" i="135"/>
  <c r="M42" i="135"/>
  <c r="M34" i="135"/>
  <c r="N46" i="135"/>
  <c r="N38" i="135"/>
  <c r="N30" i="135"/>
  <c r="O42" i="135"/>
  <c r="O34" i="135"/>
  <c r="P46" i="135"/>
  <c r="P38" i="135"/>
  <c r="P30" i="135"/>
  <c r="Q42" i="135"/>
  <c r="Q34" i="135"/>
  <c r="R46" i="135"/>
  <c r="R38" i="135"/>
  <c r="R30" i="135"/>
  <c r="S42" i="135"/>
  <c r="S34" i="135"/>
  <c r="T46" i="135"/>
  <c r="T38" i="135"/>
  <c r="T30" i="135"/>
  <c r="U42" i="135"/>
  <c r="U34" i="135"/>
  <c r="F29" i="135"/>
  <c r="A46" i="135"/>
  <c r="A38" i="135"/>
  <c r="A30" i="135"/>
  <c r="B37" i="135"/>
  <c r="C49" i="135"/>
  <c r="C41" i="135"/>
  <c r="D45" i="135"/>
  <c r="D37" i="135"/>
  <c r="E41" i="135"/>
  <c r="E33" i="135"/>
  <c r="F45" i="135"/>
  <c r="F37" i="135"/>
  <c r="G49" i="135"/>
  <c r="G41" i="135"/>
  <c r="G33" i="135"/>
  <c r="H45" i="135"/>
  <c r="H37" i="135"/>
  <c r="I49" i="135"/>
  <c r="I41" i="135"/>
  <c r="I33" i="135"/>
  <c r="J45" i="135"/>
  <c r="J37" i="135"/>
  <c r="K49" i="135"/>
  <c r="K41" i="135"/>
  <c r="K33" i="135"/>
  <c r="L45" i="135"/>
  <c r="L37" i="135"/>
  <c r="M49" i="135"/>
  <c r="M41" i="135"/>
  <c r="M33" i="135"/>
  <c r="N45" i="135"/>
  <c r="N37" i="135"/>
  <c r="O49" i="135"/>
  <c r="O41" i="135"/>
  <c r="O33" i="135"/>
  <c r="P45" i="135"/>
  <c r="P37" i="135"/>
  <c r="Q49" i="135"/>
  <c r="Q41" i="135"/>
  <c r="Q33" i="135"/>
  <c r="R45" i="135"/>
  <c r="R37" i="135"/>
  <c r="S49" i="135"/>
  <c r="S41" i="135"/>
  <c r="S33" i="135"/>
  <c r="T45" i="135"/>
  <c r="T37" i="135"/>
  <c r="U49" i="135"/>
  <c r="U41" i="135"/>
  <c r="U33" i="135"/>
  <c r="A45" i="135"/>
  <c r="A37" i="135"/>
  <c r="B45" i="135"/>
  <c r="C33" i="135"/>
  <c r="BK18" i="135"/>
  <c r="BK10" i="135"/>
  <c r="BK2" i="135"/>
  <c r="BL14" i="135"/>
  <c r="BL6" i="135"/>
  <c r="B44" i="135"/>
  <c r="B36" i="135"/>
  <c r="C48" i="135"/>
  <c r="C40" i="135"/>
  <c r="C32" i="135"/>
  <c r="D44" i="135"/>
  <c r="D36" i="135"/>
  <c r="E48" i="135"/>
  <c r="E40" i="135"/>
  <c r="F44" i="135"/>
  <c r="F36" i="135"/>
  <c r="G48" i="135"/>
  <c r="G40" i="135"/>
  <c r="G32" i="135"/>
  <c r="H44" i="135"/>
  <c r="H36" i="135"/>
  <c r="I48" i="135"/>
  <c r="I40" i="135"/>
  <c r="I32" i="135"/>
  <c r="J44" i="135"/>
  <c r="J36" i="135"/>
  <c r="K48" i="135"/>
  <c r="K40" i="135"/>
  <c r="K32" i="135"/>
  <c r="L44" i="135"/>
  <c r="L36" i="135"/>
  <c r="M48" i="135"/>
  <c r="M40" i="135"/>
  <c r="M32" i="135"/>
  <c r="N44" i="135"/>
  <c r="N36" i="135"/>
  <c r="O48" i="135"/>
  <c r="O40" i="135"/>
  <c r="O32" i="135"/>
  <c r="P44" i="135"/>
  <c r="P36" i="135"/>
  <c r="Q48" i="135"/>
  <c r="Q40" i="135"/>
  <c r="Q32" i="135"/>
  <c r="R44" i="135"/>
  <c r="R36" i="135"/>
  <c r="S48" i="135"/>
  <c r="S40" i="135"/>
  <c r="S32" i="135"/>
  <c r="T44" i="135"/>
  <c r="T36" i="135"/>
  <c r="U48" i="135"/>
  <c r="U40" i="135"/>
  <c r="U32" i="135"/>
  <c r="A44" i="135"/>
  <c r="A36" i="135"/>
  <c r="E23" i="135"/>
  <c r="M23" i="135"/>
  <c r="U23" i="135"/>
  <c r="B43" i="135"/>
  <c r="B35" i="135"/>
  <c r="C47" i="135"/>
  <c r="C39" i="135"/>
  <c r="D43" i="135"/>
  <c r="D35" i="135"/>
  <c r="E47" i="135"/>
  <c r="E39" i="135"/>
  <c r="E31" i="135"/>
  <c r="F35" i="135"/>
  <c r="G47" i="135"/>
  <c r="G39" i="135"/>
  <c r="G31" i="135"/>
  <c r="H43" i="135"/>
  <c r="H35" i="135"/>
  <c r="I47" i="135"/>
  <c r="I39" i="135"/>
  <c r="I31" i="135"/>
  <c r="J43" i="135"/>
  <c r="J35" i="135"/>
  <c r="K47" i="135"/>
  <c r="K39" i="135"/>
  <c r="K31" i="135"/>
  <c r="L43" i="135"/>
  <c r="L35" i="135"/>
  <c r="M47" i="135"/>
  <c r="M39" i="135"/>
  <c r="M31" i="135"/>
  <c r="N43" i="135"/>
  <c r="N35" i="135"/>
  <c r="O47" i="135"/>
  <c r="O39" i="135"/>
  <c r="O31" i="135"/>
  <c r="P43" i="135"/>
  <c r="P35" i="135"/>
  <c r="Q47" i="135"/>
  <c r="Q39" i="135"/>
  <c r="Q31" i="135"/>
  <c r="R43" i="135"/>
  <c r="R35" i="135"/>
  <c r="S47" i="135"/>
  <c r="S39" i="135"/>
  <c r="S31" i="135"/>
  <c r="T43" i="135"/>
  <c r="T35" i="135"/>
  <c r="U47" i="135"/>
  <c r="U39" i="135"/>
  <c r="U31" i="135"/>
  <c r="S29" i="135"/>
  <c r="A43" i="135"/>
  <c r="A35" i="135"/>
  <c r="A66" i="135"/>
  <c r="A58" i="135"/>
  <c r="BL4" i="135"/>
  <c r="B42" i="135"/>
  <c r="C30" i="135"/>
  <c r="D42" i="135"/>
  <c r="E46" i="135"/>
  <c r="E38" i="135"/>
  <c r="E30" i="135"/>
  <c r="F42" i="135"/>
  <c r="F34" i="135"/>
  <c r="G46" i="135"/>
  <c r="G38" i="135"/>
  <c r="H42" i="135"/>
  <c r="H34" i="135"/>
  <c r="I46" i="135"/>
  <c r="I38" i="135"/>
  <c r="I30" i="135"/>
  <c r="J42" i="135"/>
  <c r="J34" i="135"/>
  <c r="K46" i="135"/>
  <c r="K38" i="135"/>
  <c r="K30" i="135"/>
  <c r="L42" i="135"/>
  <c r="L34" i="135"/>
  <c r="M46" i="135"/>
  <c r="M38" i="135"/>
  <c r="M30" i="135"/>
  <c r="N42" i="135"/>
  <c r="N34" i="135"/>
  <c r="O46" i="135"/>
  <c r="O38" i="135"/>
  <c r="O30" i="135"/>
  <c r="P42" i="135"/>
  <c r="P34" i="135"/>
  <c r="Q46" i="135"/>
  <c r="Q38" i="135"/>
  <c r="Q30" i="135"/>
  <c r="R42" i="135"/>
  <c r="R34" i="135"/>
  <c r="S46" i="135"/>
  <c r="S38" i="135"/>
  <c r="S30" i="135"/>
  <c r="T42" i="135"/>
  <c r="T34" i="135"/>
  <c r="U46" i="135"/>
  <c r="U38" i="135"/>
  <c r="U30" i="135"/>
  <c r="R29" i="135"/>
  <c r="B29" i="135"/>
  <c r="A42" i="135"/>
  <c r="A34" i="135"/>
  <c r="BL3" i="135"/>
  <c r="C45" i="135"/>
  <c r="D49" i="135"/>
  <c r="D41" i="135"/>
  <c r="E45" i="135"/>
  <c r="F49" i="135"/>
  <c r="F41" i="135"/>
  <c r="G45" i="135"/>
  <c r="H49" i="135"/>
  <c r="H41" i="135"/>
  <c r="I45" i="135"/>
  <c r="J49" i="135"/>
  <c r="J41" i="135"/>
  <c r="K45" i="135"/>
  <c r="L49" i="135"/>
  <c r="L41" i="135"/>
  <c r="M45" i="135"/>
  <c r="N49" i="135"/>
  <c r="N41" i="135"/>
  <c r="O45" i="135"/>
  <c r="P49" i="135"/>
  <c r="P41" i="135"/>
  <c r="Q45" i="135"/>
  <c r="R49" i="135"/>
  <c r="R41" i="135"/>
  <c r="S45" i="135"/>
  <c r="T49" i="135"/>
  <c r="T41" i="135"/>
  <c r="U45" i="135"/>
  <c r="A49" i="135"/>
  <c r="A41" i="135"/>
  <c r="A33" i="135"/>
  <c r="C29" i="135" l="1"/>
  <c r="J29" i="135"/>
  <c r="N29" i="135"/>
  <c r="K29" i="135"/>
  <c r="B51" i="135"/>
  <c r="X77" i="135"/>
  <c r="U29" i="135"/>
  <c r="B27" i="135"/>
  <c r="Q29" i="135"/>
  <c r="T77" i="135"/>
  <c r="S51" i="135"/>
  <c r="N51" i="135"/>
  <c r="J51" i="135"/>
  <c r="I29" i="135"/>
  <c r="L77" i="135"/>
  <c r="S77" i="135"/>
  <c r="P29" i="135"/>
  <c r="D51" i="135"/>
  <c r="G51" i="135"/>
  <c r="R51" i="135"/>
  <c r="H77" i="135"/>
  <c r="E29" i="135"/>
  <c r="K77" i="135"/>
  <c r="H29" i="135"/>
  <c r="L51" i="135"/>
  <c r="O51" i="135"/>
  <c r="P77" i="135"/>
  <c r="M29" i="135"/>
  <c r="T51" i="135"/>
  <c r="H51" i="135"/>
  <c r="E51" i="135"/>
  <c r="P51" i="135"/>
  <c r="M51" i="135"/>
  <c r="I51" i="135"/>
  <c r="C51" i="135"/>
  <c r="U51" i="135"/>
  <c r="Q51" i="135"/>
  <c r="K51" i="135"/>
  <c r="F51" i="135"/>
  <c r="B75" i="135" l="1"/>
</calcChain>
</file>

<file path=xl/sharedStrings.xml><?xml version="1.0" encoding="utf-8"?>
<sst xmlns="http://schemas.openxmlformats.org/spreadsheetml/2006/main" count="124" uniqueCount="122">
  <si>
    <t>関電工</t>
  </si>
  <si>
    <t>Ｅ・Ｊホールディングス</t>
  </si>
  <si>
    <t>井村屋グループ</t>
  </si>
  <si>
    <t>ＮＪＳ</t>
  </si>
  <si>
    <t>綜合警備保障</t>
  </si>
  <si>
    <t>味の素</t>
  </si>
  <si>
    <t>石井食品</t>
  </si>
  <si>
    <t>ジョイフル本田</t>
  </si>
  <si>
    <t>オリジナル設計</t>
  </si>
  <si>
    <t>ウェザーニューズ</t>
  </si>
  <si>
    <t>オイレス工業</t>
  </si>
  <si>
    <t>モリタホールディングス</t>
  </si>
  <si>
    <t>サンフロンティア不動産</t>
  </si>
  <si>
    <t>建設技術研究所</t>
  </si>
  <si>
    <t>協和コンサルタンツ</t>
  </si>
  <si>
    <t>セコム</t>
  </si>
  <si>
    <t>応用地質</t>
  </si>
  <si>
    <t>オオバ</t>
  </si>
  <si>
    <t>因幡電機産業</t>
  </si>
  <si>
    <t>朝日放送グループホールディングス</t>
  </si>
  <si>
    <t>2019/11</t>
  </si>
  <si>
    <t>2019/12</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</si>
  <si>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</si>
  <si>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</si>
  <si>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</si>
  <si>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</si>
  <si>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</si>
  <si>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</si>
  <si>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</si>
  <si>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</si>
  <si>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</si>
  <si>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</si>
  <si>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</si>
  <si>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</si>
  <si>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</si>
  <si>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</si>
  <si>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</si>
  <si>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</si>
  <si>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</si>
  <si>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</si>
  <si>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</si>
  <si>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</si>
  <si>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</si>
  <si>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</si>
  <si>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</si>
  <si>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</si>
  <si>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</si>
  <si>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</si>
  <si>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</si>
  <si>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</si>
  <si>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</si>
  <si>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</si>
  <si>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</si>
  <si>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</si>
  <si>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</si>
  <si>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</si>
  <si>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</si>
  <si>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</si>
  <si>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</si>
  <si>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</si>
  <si>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</si>
  <si>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</si>
  <si>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</si>
  <si>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</si>
  <si>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</si>
  <si>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</si>
  <si>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</si>
  <si>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</si>
  <si>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</si>
  <si>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</si>
  <si>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</si>
  <si>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</si>
  <si>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</si>
  <si>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</si>
  <si>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</si>
  <si>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</si>
  <si>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</si>
  <si>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</si>
  <si>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</si>
  <si>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</si>
  <si>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</si>
  <si>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証券コード</t>
    <rPh sb="0" eb="2">
      <t>ショウケン</t>
    </rPh>
    <phoneticPr fontId="1"/>
  </si>
  <si>
    <t>会社名</t>
    <rPh sb="0" eb="3">
      <t>カイシャメイ</t>
    </rPh>
    <phoneticPr fontId="1"/>
  </si>
  <si>
    <t>機能</t>
    <rPh sb="0" eb="2">
      <t>キノウ</t>
    </rPh>
    <phoneticPr fontId="1"/>
  </si>
  <si>
    <t>ログリターン</t>
  </si>
  <si>
    <t>ログリターン平均</t>
  </si>
  <si>
    <t>ログリターン標準偏差</t>
  </si>
  <si>
    <t>ウエイト合計</t>
  </si>
  <si>
    <t>ポートフォリオ期待利益率</t>
  </si>
  <si>
    <t>分散共分散行列</t>
  </si>
  <si>
    <t>ポートフォリオ標準偏差</t>
  </si>
  <si>
    <t>銘柄毎のログリターンの計算</t>
    <rPh sb="0" eb="2">
      <t>メイガラ</t>
    </rPh>
    <rPh sb="2" eb="3">
      <t>ゴト</t>
    </rPh>
    <rPh sb="11" eb="13">
      <t>ケイサン</t>
    </rPh>
    <phoneticPr fontId="1"/>
  </si>
  <si>
    <t>銘柄ごとのログリターンの平均と標準偏差の計算</t>
    <rPh sb="0" eb="2">
      <t>メイガラ</t>
    </rPh>
    <rPh sb="12" eb="14">
      <t>ヘイキン</t>
    </rPh>
    <rPh sb="15" eb="19">
      <t>ヒョウジュンヘンサ</t>
    </rPh>
    <rPh sb="20" eb="22">
      <t>ケイサン</t>
    </rPh>
    <phoneticPr fontId="1"/>
  </si>
  <si>
    <t>銘柄毎の分散共分散行列の計算</t>
    <rPh sb="0" eb="2">
      <t>メイガラ</t>
    </rPh>
    <rPh sb="2" eb="3">
      <t>ゴト</t>
    </rPh>
    <rPh sb="4" eb="11">
      <t>ブンサンキョウブンサンギョウレツ</t>
    </rPh>
    <rPh sb="12" eb="14">
      <t>ケイサン</t>
    </rPh>
    <phoneticPr fontId="1"/>
  </si>
  <si>
    <t>ポートフォリオ期待利益率の計算</t>
    <rPh sb="7" eb="12">
      <t>キタイリエキリツ</t>
    </rPh>
    <rPh sb="13" eb="15">
      <t>ケイサン</t>
    </rPh>
    <phoneticPr fontId="1"/>
  </si>
  <si>
    <t>ポートフォリオ標準偏差の計算</t>
    <rPh sb="7" eb="11">
      <t>ヒョウジュンヘンサ</t>
    </rPh>
    <rPh sb="12" eb="14">
      <t>ケイサン</t>
    </rPh>
    <phoneticPr fontId="1"/>
  </si>
  <si>
    <t>参照形式で表示されるもの</t>
    <rPh sb="0" eb="2">
      <t>サンショウ</t>
    </rPh>
    <rPh sb="2" eb="4">
      <t>ケイシキ</t>
    </rPh>
    <rPh sb="5" eb="7">
      <t>ヒョウジ</t>
    </rPh>
    <phoneticPr fontId="1"/>
  </si>
  <si>
    <t>非参照形式で表示されるもの</t>
    <rPh sb="0" eb="1">
      <t>ヒ</t>
    </rPh>
    <rPh sb="1" eb="3">
      <t>サンショウ</t>
    </rPh>
    <rPh sb="3" eb="5">
      <t>ケイシキ</t>
    </rPh>
    <rPh sb="6" eb="8">
      <t>ヒョウジ</t>
    </rPh>
    <phoneticPr fontId="1"/>
  </si>
  <si>
    <t>ポートフォリオ期待利益率の範囲の自動設定</t>
    <rPh sb="7" eb="12">
      <t>キタイリエキリツ</t>
    </rPh>
    <rPh sb="13" eb="15">
      <t>ハンイ</t>
    </rPh>
    <rPh sb="16" eb="20">
      <t>ジドウセッテイ</t>
    </rPh>
    <phoneticPr fontId="1"/>
  </si>
  <si>
    <t>各ポートフォリオ期待利益率を達成する最低の標準偏差の表示</t>
    <rPh sb="0" eb="1">
      <t>カク</t>
    </rPh>
    <rPh sb="8" eb="13">
      <t>キタイリエキリツ</t>
    </rPh>
    <rPh sb="14" eb="16">
      <t>タッセイ</t>
    </rPh>
    <rPh sb="18" eb="20">
      <t>サイテイ</t>
    </rPh>
    <rPh sb="21" eb="25">
      <t>ヒョウジュンヘンサ</t>
    </rPh>
    <rPh sb="26" eb="28">
      <t>ヒョウジ</t>
    </rPh>
    <phoneticPr fontId="1"/>
  </si>
  <si>
    <t>最小分散フロンティアの作図</t>
    <rPh sb="0" eb="4">
      <t>サイショウブンサン</t>
    </rPh>
    <rPh sb="11" eb="13">
      <t>サクズ</t>
    </rPh>
    <phoneticPr fontId="1"/>
  </si>
  <si>
    <t>各ポートフォリオ期待利益率を最低の標準偏差で達成する際の各銘柄への投資割合の表示</t>
    <rPh sb="0" eb="1">
      <t>カク</t>
    </rPh>
    <rPh sb="8" eb="13">
      <t>キタイリエキリツ</t>
    </rPh>
    <rPh sb="14" eb="16">
      <t>サイテイ</t>
    </rPh>
    <rPh sb="17" eb="21">
      <t>ヒョウジュンヘンサ</t>
    </rPh>
    <rPh sb="22" eb="24">
      <t>タッセイ</t>
    </rPh>
    <rPh sb="26" eb="27">
      <t>サイ</t>
    </rPh>
    <rPh sb="28" eb="31">
      <t>カクメイガラ</t>
    </rPh>
    <rPh sb="33" eb="37">
      <t>トウシワリアイ</t>
    </rPh>
    <rPh sb="38" eb="40">
      <t>ヒョウジ</t>
    </rPh>
    <phoneticPr fontId="1"/>
  </si>
  <si>
    <t>各ポートフォリオ期待利益率における各銘柄への投資割合の作図</t>
    <rPh sb="27" eb="29">
      <t>サクズ</t>
    </rPh>
    <phoneticPr fontId="1"/>
  </si>
  <si>
    <t>[開発タブ]またはAlt+F11でVisual Basicを開く</t>
    <rPh sb="1" eb="3">
      <t>カイハツ</t>
    </rPh>
    <rPh sb="30" eb="31">
      <t>ヒラ</t>
    </rPh>
    <phoneticPr fontId="1"/>
  </si>
  <si>
    <t>任意のExcelブックをマクロ有効ブック(.xlsm)として保存</t>
    <rPh sb="0" eb="2">
      <t>ニンイ</t>
    </rPh>
    <rPh sb="15" eb="17">
      <t>ユウコウ</t>
    </rPh>
    <rPh sb="30" eb="32">
      <t>ホゾン</t>
    </rPh>
    <phoneticPr fontId="1"/>
  </si>
  <si>
    <t>[ツール]&gt;[参照設定]またはAlt+T+RからSlverにチェックを入れて[OK]またはEnter</t>
    <rPh sb="7" eb="11">
      <t>サンショウセッテイ</t>
    </rPh>
    <rPh sb="35" eb="36">
      <t>イ</t>
    </rPh>
    <phoneticPr fontId="1"/>
  </si>
  <si>
    <r>
      <rPr>
        <sz val="10"/>
        <rFont val="Meiryo UI"/>
        <family val="3"/>
        <charset val="128"/>
      </rPr>
      <t>[</t>
    </r>
    <r>
      <rPr>
        <sz val="10"/>
        <color rgb="FF00B050"/>
        <rFont val="Meiryo UI"/>
        <family val="3"/>
        <charset val="128"/>
      </rPr>
      <t>▶</t>
    </r>
    <r>
      <rPr>
        <sz val="10"/>
        <rFont val="Meiryo UI"/>
        <family val="3"/>
        <charset val="128"/>
      </rPr>
      <t>Sub/ユーザー フォームの実行]またはF5でユーザーフォームを実行</t>
    </r>
    <rPh sb="16" eb="18">
      <t>ジッコウ</t>
    </rPh>
    <rPh sb="34" eb="36">
      <t>ジッコウ</t>
    </rPh>
    <phoneticPr fontId="1"/>
  </si>
  <si>
    <t>株価Sheet名に株価データが記録されている任意のExcelシート名を入力</t>
    <rPh sb="9" eb="11">
      <t>カブカ</t>
    </rPh>
    <rPh sb="15" eb="17">
      <t>キロク</t>
    </rPh>
    <rPh sb="22" eb="24">
      <t>ニンイ</t>
    </rPh>
    <rPh sb="33" eb="34">
      <t>メイ</t>
    </rPh>
    <rPh sb="35" eb="37">
      <t>ニュウリョク</t>
    </rPh>
    <phoneticPr fontId="1"/>
  </si>
  <si>
    <t>新規Sheet名に新規に作成したいExcelシート名を入力</t>
    <rPh sb="9" eb="11">
      <t>シンキ</t>
    </rPh>
    <rPh sb="12" eb="14">
      <t>サクセイ</t>
    </rPh>
    <rPh sb="25" eb="26">
      <t>メイ</t>
    </rPh>
    <rPh sb="27" eb="29">
      <t>ニュウリョク</t>
    </rPh>
    <phoneticPr fontId="1"/>
  </si>
  <si>
    <t>{株価データ 行}に株価データの開始行および終了行(日付・銘柄名・コード等含まず)を入力</t>
    <rPh sb="10" eb="12">
      <t>カブカ</t>
    </rPh>
    <rPh sb="16" eb="18">
      <t>カイシ</t>
    </rPh>
    <rPh sb="18" eb="19">
      <t>ギョウ</t>
    </rPh>
    <rPh sb="22" eb="24">
      <t>シュウリョウ</t>
    </rPh>
    <rPh sb="24" eb="25">
      <t>ギョウ</t>
    </rPh>
    <rPh sb="26" eb="28">
      <t>ヒヅケ</t>
    </rPh>
    <rPh sb="29" eb="31">
      <t>メイガラ</t>
    </rPh>
    <rPh sb="31" eb="32">
      <t>メイ</t>
    </rPh>
    <rPh sb="36" eb="37">
      <t>トウ</t>
    </rPh>
    <rPh sb="37" eb="38">
      <t>フク</t>
    </rPh>
    <rPh sb="42" eb="44">
      <t>ニュウリョク</t>
    </rPh>
    <phoneticPr fontId="1"/>
  </si>
  <si>
    <t>{株価データ 列}に株価データの開始列および終了列(日付・銘柄名・コード等含まず)を入力</t>
    <rPh sb="7" eb="8">
      <t>レツ</t>
    </rPh>
    <rPh sb="10" eb="12">
      <t>カブカ</t>
    </rPh>
    <rPh sb="16" eb="18">
      <t>カイシ</t>
    </rPh>
    <rPh sb="18" eb="19">
      <t>レツ</t>
    </rPh>
    <rPh sb="22" eb="24">
      <t>シュウリョウ</t>
    </rPh>
    <rPh sb="24" eb="25">
      <t>レツ</t>
    </rPh>
    <rPh sb="26" eb="28">
      <t>ヒヅケ</t>
    </rPh>
    <rPh sb="29" eb="31">
      <t>メイガラ</t>
    </rPh>
    <rPh sb="31" eb="32">
      <t>メイ</t>
    </rPh>
    <rPh sb="36" eb="37">
      <t>トウ</t>
    </rPh>
    <rPh sb="37" eb="38">
      <t>フク</t>
    </rPh>
    <rPh sb="42" eb="44">
      <t>ニュウリョク</t>
    </rPh>
    <phoneticPr fontId="1"/>
  </si>
  <si>
    <t>{銘柄名∨コード 列}に銘柄名やコード等の記録されている列を入力</t>
    <rPh sb="12" eb="15">
      <t>メイガラメイ</t>
    </rPh>
    <rPh sb="19" eb="20">
      <t>トウ</t>
    </rPh>
    <rPh sb="21" eb="23">
      <t>キロク</t>
    </rPh>
    <rPh sb="28" eb="29">
      <t>レツ</t>
    </rPh>
    <rPh sb="30" eb="32">
      <t>ニュウリョク</t>
    </rPh>
    <phoneticPr fontId="1"/>
  </si>
  <si>
    <t>{最低投資割合}に各銘柄に投資する最低限の割合を入力</t>
    <rPh sb="9" eb="12">
      <t>カクメイガラ</t>
    </rPh>
    <rPh sb="13" eb="15">
      <t>トウシ</t>
    </rPh>
    <rPh sb="17" eb="20">
      <t>サイテイゲン</t>
    </rPh>
    <rPh sb="21" eb="23">
      <t>ワリアイ</t>
    </rPh>
    <rPh sb="24" eb="26">
      <t>ニュウリョク</t>
    </rPh>
    <phoneticPr fontId="1"/>
  </si>
  <si>
    <t>{期待利益率の段階}に分析する期待利益率の細かさの程度を入力</t>
    <rPh sb="11" eb="13">
      <t>ブンセキ</t>
    </rPh>
    <rPh sb="15" eb="20">
      <t>キタイリエキリツ</t>
    </rPh>
    <rPh sb="21" eb="22">
      <t>コマ</t>
    </rPh>
    <rPh sb="25" eb="27">
      <t>テイド</t>
    </rPh>
    <rPh sb="28" eb="30">
      <t>ニュウリョク</t>
    </rPh>
    <phoneticPr fontId="1"/>
  </si>
  <si>
    <t>オプションボタンを任意に選択</t>
    <rPh sb="9" eb="11">
      <t>ニンイ</t>
    </rPh>
    <rPh sb="12" eb="14">
      <t>センタク</t>
    </rPh>
    <phoneticPr fontId="1"/>
  </si>
  <si>
    <t>{実行ボタン}をクリックして実行</t>
    <rPh sb="14" eb="16">
      <t>ジッコウ</t>
    </rPh>
    <phoneticPr fontId="1"/>
  </si>
  <si>
    <t>処理が完了するまで待つ</t>
    <rPh sb="0" eb="2">
      <t>ショリ</t>
    </rPh>
    <rPh sb="3" eb="5">
      <t>カンリョウ</t>
    </rPh>
    <rPh sb="9" eb="10">
      <t>マ</t>
    </rPh>
    <phoneticPr fontId="1"/>
  </si>
  <si>
    <t>「処理が完了しました。」のメッセージボックスが出たら[OK]またはEnterで完了</t>
    <rPh sb="23" eb="24">
      <t>デ</t>
    </rPh>
    <rPh sb="39" eb="41">
      <t>カンリョウ</t>
    </rPh>
    <phoneticPr fontId="1"/>
  </si>
  <si>
    <t>使用方法(本Excelブック以外のExcelブックでユーザーフォームを利用する場合)</t>
    <rPh sb="0" eb="4">
      <t>シヨウホウホウ</t>
    </rPh>
    <rPh sb="5" eb="6">
      <t>ホン</t>
    </rPh>
    <rPh sb="14" eb="16">
      <t>イガイ</t>
    </rPh>
    <rPh sb="35" eb="37">
      <t>リヨウ</t>
    </rPh>
    <rPh sb="39" eb="41">
      <t>バアイ</t>
    </rPh>
    <phoneticPr fontId="1"/>
  </si>
  <si>
    <t>ufmMVP.frm及びufmMVP.frxを任意の同一のフォルダに保存</t>
    <rPh sb="10" eb="11">
      <t>オヨ</t>
    </rPh>
    <rPh sb="23" eb="25">
      <t>ニンイ</t>
    </rPh>
    <rPh sb="26" eb="28">
      <t>ドウイツ</t>
    </rPh>
    <rPh sb="34" eb="36">
      <t>ホゾン</t>
    </rPh>
    <phoneticPr fontId="1"/>
  </si>
  <si>
    <t>[ファイル]&gt;[オプション]&gt;[アドイン]&gt;[設定]でソルバー アドインにチェックを入れて[OK]またはEnter</t>
    <rPh sb="23" eb="25">
      <t>セッテイ</t>
    </rPh>
    <rPh sb="42" eb="43">
      <t>イ</t>
    </rPh>
    <phoneticPr fontId="1"/>
  </si>
  <si>
    <t>[ファイル]&gt;[ファイルのインポート]またはCtrl+MからufmMVP.frmを開く</t>
    <rPh sb="41" eb="42">
      <t>ヒラ</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</si>
</sst>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0"/>
      <color theme="1"/>
      <name val="Meiryo UI"/>
      <family val="2"/>
      <charset val="128"/>
    </font>
    <font>
      <sz val="6"/>
      <name val="Meiryo UI"/>
      <family val="2"/>
      <charset val="128"/>
    </font>
    <font>
      <sz val="9"/>
      <name val="MS UI Gothic"/>
      <family val="3"/>
      <charset val="128"/>
    </font>
    <font>
      <sz val="10"/>
      <color rgb="FF00B050"/>
      <name val="Meiryo UI"/>
      <family val="3"/>
      <charset val="128"/>
    </font>
    <font>
      <sz val="10"/>
      <name val="Meiryo UI"/>
      <family val="3"/>
      <charset val="128"/>
    </font>
    <font>
      <sz val="10"/>
      <color theme="1"/>
      <name val="Meiryo UI"/>
      <family val="3"/>
      <charset val="128"/>
    </font>
  </fonts>
  <fills count="2">
    <fill>
      <patternFill patternType="none"/>
    </fill>
    <fill>
      <patternFill patternType="gray125"/>
    </fill>
  </fills>
  <borders count="1">
    <border>
      <left/>
      <right/>
      <top/>
      <bottom/>
      <diagonal/>
    </border>
  </borders>
  <cellStyleXfs count="3">
    <xf numFmtId="0" fontId="0" fillId="0" borderId="0">
      <alignment vertical="center"/>
    </xf>
    <xf numFmtId="0" fontId="2" fillId="0" borderId="0">
      <alignment vertical="top"/>
      <protection locked="0"/>
    </xf>
    <xf numFmtId="0" fontId="2" fillId="0" borderId="0">
      <alignment vertical="top"/>
      <protection locked="0"/>
    </xf>
  </cellStyleXfs>
  <cellXfs count="3">
    <xf numFmtId="0" fontId="0" fillId="0" borderId="0" xfId="0">
      <alignment vertical="center"/>
    </xf>
    <xf numFmtId="0" fontId="5" fillId="0" borderId="0" xfId="0" applyFont="1">
      <alignment vertical="center"/>
    </xf>
    <xf numFmtId="0" fontId="0" fillId="0" borderId="0" xfId="0" applyAlignment="1">
      <alignment horizontal="left" vertical="center"/>
    </xf>
  </cellXfs>
  <cellStyles count="3">
    <cellStyle name="Normal" xfId="1" xr:uid="{017A869A-B3A9-428D-91B4-51F22D43C9F4}"/>
    <cellStyle name="標準" xfId="0" builtinId="0"/>
    <cellStyle name="標準 2" xfId="2" xr:uid="{C1D919B6-DE51-4038-AED9-C70DB59ABC7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latin typeface="Meiryo UI" panose="020B0604030504040204" pitchFamily="50" charset="-128"/>
              </a:defRPr>
            </a:pPr>
            <a:r>
              <a:rPr lang="ja-JP" altLang="en-US" sz="1400" b="0" i="0">
                <a:latin typeface="Meiryo UI" panose="020B0604030504040204" pitchFamily="50" charset="-128"/>
              </a:rPr>
              <a:t>最小分散フロンティア</a:t>
            </a:r>
          </a:p>
        </c:rich>
      </c:tx>
      <c:overlay val="0"/>
    </c:title>
    <c:autoTitleDeleted val="0"/>
    <c:plotArea>
      <c:layout>
        <c:manualLayout>
          <c:layoutTarget val="inner"/>
          <c:xMode val="edge"/>
          <c:yMode val="edge"/>
          <c:x val="0.16526657860191099"/>
          <c:y val="0.11651629681305717"/>
          <c:w val="0.77170183443204843"/>
          <c:h val="0.80120221732970076"/>
        </c:manualLayout>
      </c:layout>
      <c:scatterChart>
        <c:scatterStyle val="smoothMarker"/>
        <c:varyColors val="0"/>
        <c:ser>
          <c:idx val="0"/>
          <c:order val="0"/>
          <c:spPr>
            <a:ln w="19050">
              <a:solidFill>
                <a:srgbClr val="1E5096"/>
              </a:solidFill>
            </a:ln>
          </c:spPr>
          <c:marker>
            <c:symbol val="none"/>
          </c:marker>
          <c:dPt>
            <c:idx val="15"/>
            <c:marker>
              <c:symbol val="circle"/>
              <c:size val="3"/>
              <c:spPr>
                <a:solidFill>
                  <a:srgbClr val="1E5096"/>
                </a:solidFill>
                <a:ln w="19050">
                  <a:solidFill>
                    <a:srgbClr val="1E5096"/>
                  </a:solidFill>
                </a:ln>
              </c:spPr>
            </c:marker>
            <c:bubble3D val="0"/>
            <c:extLst>
              <c:ext xmlns:c16="http://schemas.microsoft.com/office/drawing/2014/chart" uri="{C3380CC4-5D6E-409C-BE32-E72D297353CC}">
                <c16:uniqueId val="{00000003-3E39-4996-94E6-FE4C7FC84A7E}"/>
              </c:ext>
            </c:extLst>
          </c:dPt>
          <c:dLbls>
            <c:dLbl>
              <c:idx val="15"/>
              <c:tx>
                <c:rich>
                  <a:bodyPr wrap="square" lIns="38100" tIns="19050" rIns="38100" bIns="19050" anchor="ctr">
                    <a:spAutoFit/>
                  </a:bodyPr>
                  <a:lstStyle/>
                  <a:p>
                    <a:pPr>
                      <a:defRPr altLang="en-US" sz="600" b="0">
                        <a:latin typeface="Meiryo UI"/>
                        <a:ea typeface="Meiryo UI"/>
                        <a:cs typeface="Meiryo UI"/>
                      </a:defRPr>
                    </a:pPr>
                    <a:r>
                      <a:rPr lang="ja-JP" altLang="en-US"/>
                      <a:t>最小分散ポートフォリオ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E39-4996-94E6-FE4C7FC84A7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実行結果サンプル!$B$78:$B$128</c:f>
              <c:numCache>
                <c:formatCode>General</c:formatCode>
                <c:ptCount val="51"/>
                <c:pt idx="0">
                  <c:v>3.2481845142181116E-2</c:v>
                </c:pt>
                <c:pt idx="1">
                  <c:v>3.0596569823706926E-2</c:v>
                </c:pt>
                <c:pt idx="2">
                  <c:v>2.9410500756732634E-2</c:v>
                </c:pt>
                <c:pt idx="3">
                  <c:v>2.8436621522556705E-2</c:v>
                </c:pt>
                <c:pt idx="4">
                  <c:v>2.7641519305526014E-2</c:v>
                </c:pt>
                <c:pt idx="5">
                  <c:v>2.6954968879439038E-2</c:v>
                </c:pt>
                <c:pt idx="6">
                  <c:v>2.6348576248139979E-2</c:v>
                </c:pt>
                <c:pt idx="7">
                  <c:v>2.5827982798564422E-2</c:v>
                </c:pt>
                <c:pt idx="8">
                  <c:v>2.5398445819569956E-2</c:v>
                </c:pt>
                <c:pt idx="9">
                  <c:v>2.5064676118913474E-2</c:v>
                </c:pt>
                <c:pt idx="10">
                  <c:v>2.4828472966905036E-2</c:v>
                </c:pt>
                <c:pt idx="11">
                  <c:v>2.4650588950917391E-2</c:v>
                </c:pt>
                <c:pt idx="12">
                  <c:v>2.4515587974551722E-2</c:v>
                </c:pt>
                <c:pt idx="13">
                  <c:v>2.4424036844898873E-2</c:v>
                </c:pt>
                <c:pt idx="14">
                  <c:v>2.4367973481774129E-2</c:v>
                </c:pt>
                <c:pt idx="15">
                  <c:v>2.4340645674482519E-2</c:v>
                </c:pt>
                <c:pt idx="16">
                  <c:v>2.4342114460154357E-2</c:v>
                </c:pt>
                <c:pt idx="17">
                  <c:v>2.4372372330678134E-2</c:v>
                </c:pt>
                <c:pt idx="18">
                  <c:v>2.4431312041425658E-2</c:v>
                </c:pt>
                <c:pt idx="19">
                  <c:v>2.4518727308083636E-2</c:v>
                </c:pt>
                <c:pt idx="20">
                  <c:v>2.4634322521313277E-2</c:v>
                </c:pt>
                <c:pt idx="21">
                  <c:v>2.4780869000144888E-2</c:v>
                </c:pt>
                <c:pt idx="22">
                  <c:v>2.497331419716196E-2</c:v>
                </c:pt>
                <c:pt idx="23">
                  <c:v>2.5210977662378072E-2</c:v>
                </c:pt>
                <c:pt idx="24">
                  <c:v>2.549226732426442E-2</c:v>
                </c:pt>
                <c:pt idx="25">
                  <c:v>2.5812213157671036E-2</c:v>
                </c:pt>
                <c:pt idx="26">
                  <c:v>2.6185677394761169E-2</c:v>
                </c:pt>
                <c:pt idx="27">
                  <c:v>2.6618786778050765E-2</c:v>
                </c:pt>
                <c:pt idx="28">
                  <c:v>2.7113926746713785E-2</c:v>
                </c:pt>
                <c:pt idx="29">
                  <c:v>2.7670353701392203E-2</c:v>
                </c:pt>
                <c:pt idx="30">
                  <c:v>2.8284805763259493E-2</c:v>
                </c:pt>
                <c:pt idx="31">
                  <c:v>2.8938722359644099E-2</c:v>
                </c:pt>
                <c:pt idx="32">
                  <c:v>2.9623919986857004E-2</c:v>
                </c:pt>
                <c:pt idx="33">
                  <c:v>3.0338305387272099E-2</c:v>
                </c:pt>
                <c:pt idx="34">
                  <c:v>3.1079959384269412E-2</c:v>
                </c:pt>
                <c:pt idx="35">
                  <c:v>3.1852850441611638E-2</c:v>
                </c:pt>
                <c:pt idx="36">
                  <c:v>3.2683439589318408E-2</c:v>
                </c:pt>
                <c:pt idx="37">
                  <c:v>3.3571937533378157E-2</c:v>
                </c:pt>
                <c:pt idx="38">
                  <c:v>3.4509337673713864E-2</c:v>
                </c:pt>
                <c:pt idx="39">
                  <c:v>3.5491190550699943E-2</c:v>
                </c:pt>
                <c:pt idx="40">
                  <c:v>3.6521735166463919E-2</c:v>
                </c:pt>
                <c:pt idx="41">
                  <c:v>3.7586470382213515E-2</c:v>
                </c:pt>
                <c:pt idx="42">
                  <c:v>3.8690477984520091E-2</c:v>
                </c:pt>
                <c:pt idx="43">
                  <c:v>3.9856790121929574E-2</c:v>
                </c:pt>
                <c:pt idx="44">
                  <c:v>4.1217817595601045E-2</c:v>
                </c:pt>
                <c:pt idx="45">
                  <c:v>4.2760586028242231E-2</c:v>
                </c:pt>
                <c:pt idx="46">
                  <c:v>4.4498099767646258E-2</c:v>
                </c:pt>
                <c:pt idx="47">
                  <c:v>4.647149243066747E-2</c:v>
                </c:pt>
                <c:pt idx="48">
                  <c:v>4.8730504073812873E-2</c:v>
                </c:pt>
                <c:pt idx="49">
                  <c:v>5.1313749090010657E-2</c:v>
                </c:pt>
                <c:pt idx="50">
                  <c:v>5.4517790839678566E-2</c:v>
                </c:pt>
              </c:numCache>
            </c:numRef>
          </c:xVal>
          <c:yVal>
            <c:numRef>
              <c:f>実行結果サンプル!$C$78:$C$128</c:f>
              <c:numCache>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Cache>
            </c:numRef>
          </c:yVal>
          <c:smooth val="1"/>
          <c:extLst>
            <c:ext xmlns:c16="http://schemas.microsoft.com/office/drawing/2014/chart" uri="{C3380CC4-5D6E-409C-BE32-E72D297353CC}">
              <c16:uniqueId val="{00000002-3E39-4996-94E6-FE4C7FC84A7E}"/>
            </c:ext>
          </c:extLst>
        </c:ser>
        <c:dLbls>
          <c:showLegendKey val="0"/>
          <c:showVal val="0"/>
          <c:showCatName val="0"/>
          <c:showSerName val="0"/>
          <c:showPercent val="0"/>
          <c:showBubbleSize val="0"/>
        </c:dLbls>
        <c:axId val="1263728623"/>
        <c:axId val="1263739663"/>
      </c:scatterChart>
      <c:valAx>
        <c:axId val="1263728623"/>
        <c:scaling>
          <c:orientation val="minMax"/>
        </c:scaling>
        <c:delete val="0"/>
        <c:axPos val="b"/>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標準偏差</a:t>
                </a:r>
              </a:p>
            </c:rich>
          </c:tx>
          <c:overlay val="0"/>
        </c:title>
        <c:numFmt formatCode="0.00" sourceLinked="0"/>
        <c:majorTickMark val="out"/>
        <c:minorTickMark val="none"/>
        <c:tickLblPos val="nextTo"/>
        <c:crossAx val="1263739663"/>
        <c:crosses val="autoZero"/>
        <c:crossBetween val="midCat"/>
      </c:valAx>
      <c:valAx>
        <c:axId val="1263739663"/>
        <c:scaling>
          <c:orientation val="minMax"/>
        </c:scaling>
        <c:delete val="0"/>
        <c:axPos val="l"/>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期待利益率</a:t>
                </a:r>
              </a:p>
            </c:rich>
          </c:tx>
          <c:overlay val="0"/>
        </c:title>
        <c:numFmt formatCode="0.00" sourceLinked="0"/>
        <c:majorTickMark val="out"/>
        <c:minorTickMark val="none"/>
        <c:tickLblPos val="nextTo"/>
        <c:crossAx val="1263728623"/>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latin typeface="Meiryo UI" panose="020B0604030504040204" pitchFamily="50" charset="-128"/>
              </a:defRPr>
            </a:pPr>
            <a:r>
              <a:rPr lang="ja-JP" altLang="en-US" sz="1400" b="0" i="0">
                <a:latin typeface="Meiryo UI" panose="020B0604030504040204" pitchFamily="50" charset="-128"/>
              </a:rPr>
              <a:t>各期待利益率における各銘柄の投資割合</a:t>
            </a:r>
          </a:p>
        </c:rich>
      </c:tx>
      <c:overlay val="0"/>
    </c:title>
    <c:autoTitleDeleted val="0"/>
    <c:plotArea>
      <c:layout/>
      <c:barChart>
        <c:barDir val="bar"/>
        <c:grouping val="percentStacked"/>
        <c:varyColors val="0"/>
        <c:ser>
          <c:idx val="0"/>
          <c:order val="0"/>
          <c:tx>
            <c:strRef>
              <c:f>実行結果サンプル!$E$77</c:f>
              <c:strCache>
                <c:ptCount val="1"/>
                <c:pt idx="0">
                  <c:v>ウェザーニューズ</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実行結果サンプル!$E$78:$E$128</c:f>
              <c:numCache>
                <c:formatCode>General</c:formatCode>
                <c:ptCount val="51"/>
                <c:pt idx="0">
                  <c:v>9.9990000000000009E-3</c:v>
                </c:pt>
                <c:pt idx="1">
                  <c:v>0.01</c:v>
                </c:pt>
                <c:pt idx="2">
                  <c:v>9.9999999999999985E-3</c:v>
                </c:pt>
                <c:pt idx="3">
                  <c:v>0.01</c:v>
                </c:pt>
                <c:pt idx="4">
                  <c:v>0.01</c:v>
                </c:pt>
                <c:pt idx="5">
                  <c:v>1.0000000000000002E-2</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9.9990000000000009E-3</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2-29BC-43FF-8E32-2FC1CA71BDA2}"/>
            </c:ext>
          </c:extLst>
        </c:ser>
        <c:ser>
          <c:idx val="1"/>
          <c:order val="1"/>
          <c:tx>
            <c:strRef>
              <c:f>実行結果サンプル!$F$77</c:f>
              <c:strCache>
                <c:ptCount val="1"/>
                <c:pt idx="0">
                  <c:v>セコム</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実行結果サンプル!$F$78:$F$128</c:f>
              <c:numCache>
                <c:formatCode>General</c:formatCode>
                <c:ptCount val="51"/>
                <c:pt idx="0">
                  <c:v>9.9990000000000079E-3</c:v>
                </c:pt>
                <c:pt idx="1">
                  <c:v>0.01</c:v>
                </c:pt>
                <c:pt idx="2">
                  <c:v>0.01</c:v>
                </c:pt>
                <c:pt idx="3">
                  <c:v>2.4481394927734639E-2</c:v>
                </c:pt>
                <c:pt idx="4">
                  <c:v>3.6131506420382591E-2</c:v>
                </c:pt>
                <c:pt idx="5">
                  <c:v>3.6569041590978471E-2</c:v>
                </c:pt>
                <c:pt idx="6">
                  <c:v>3.7091406177616991E-2</c:v>
                </c:pt>
                <c:pt idx="7">
                  <c:v>3.7556560740160734E-2</c:v>
                </c:pt>
                <c:pt idx="8">
                  <c:v>3.8063360023775313E-2</c:v>
                </c:pt>
                <c:pt idx="9">
                  <c:v>3.8344323111506179E-2</c:v>
                </c:pt>
                <c:pt idx="10">
                  <c:v>3.8254131022293726E-2</c:v>
                </c:pt>
                <c:pt idx="11">
                  <c:v>3.6684787694030094E-2</c:v>
                </c:pt>
                <c:pt idx="12">
                  <c:v>3.516022140275385E-2</c:v>
                </c:pt>
                <c:pt idx="13">
                  <c:v>3.3537430882122438E-2</c:v>
                </c:pt>
                <c:pt idx="14">
                  <c:v>3.2894268548760403E-2</c:v>
                </c:pt>
                <c:pt idx="15">
                  <c:v>3.2166351336066761E-2</c:v>
                </c:pt>
                <c:pt idx="16">
                  <c:v>3.1407437246057802E-2</c:v>
                </c:pt>
                <c:pt idx="17">
                  <c:v>3.0679495461171713E-2</c:v>
                </c:pt>
                <c:pt idx="18">
                  <c:v>2.9940012771586373E-2</c:v>
                </c:pt>
                <c:pt idx="19">
                  <c:v>2.9199154142790257E-2</c:v>
                </c:pt>
                <c:pt idx="20">
                  <c:v>2.819613426369624E-2</c:v>
                </c:pt>
                <c:pt idx="21">
                  <c:v>2.6591081772732939E-2</c:v>
                </c:pt>
                <c:pt idx="22">
                  <c:v>2.3882252840966255E-2</c:v>
                </c:pt>
                <c:pt idx="23">
                  <c:v>2.1180816969034129E-2</c:v>
                </c:pt>
                <c:pt idx="24">
                  <c:v>1.8242473153722273E-2</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3-29BC-43FF-8E32-2FC1CA71BDA2}"/>
            </c:ext>
          </c:extLst>
        </c:ser>
        <c:ser>
          <c:idx val="2"/>
          <c:order val="2"/>
          <c:tx>
            <c:strRef>
              <c:f>実行結果サンプル!$G$77</c:f>
              <c:strCache>
                <c:ptCount val="1"/>
                <c:pt idx="0">
                  <c:v>綜合警備保障</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実行結果サンプル!$G$78:$G$128</c:f>
              <c:numCache>
                <c:formatCode>General</c:formatCode>
                <c:ptCount val="51"/>
                <c:pt idx="0">
                  <c:v>2.180837493592213E-2</c:v>
                </c:pt>
                <c:pt idx="1">
                  <c:v>0.13687038829339809</c:v>
                </c:pt>
                <c:pt idx="2">
                  <c:v>0.14409262703867151</c:v>
                </c:pt>
                <c:pt idx="3">
                  <c:v>0.14053454972508891</c:v>
                </c:pt>
                <c:pt idx="4">
                  <c:v>0.13488038655247725</c:v>
                </c:pt>
                <c:pt idx="5">
                  <c:v>0.13391300193056696</c:v>
                </c:pt>
                <c:pt idx="6">
                  <c:v>0.13323736903098163</c:v>
                </c:pt>
                <c:pt idx="7">
                  <c:v>0.13246927606815515</c:v>
                </c:pt>
                <c:pt idx="8">
                  <c:v>0.13140909263469944</c:v>
                </c:pt>
                <c:pt idx="9">
                  <c:v>0.13071658679185053</c:v>
                </c:pt>
                <c:pt idx="10">
                  <c:v>0.12831944636789619</c:v>
                </c:pt>
                <c:pt idx="11">
                  <c:v>0.12215451077739913</c:v>
                </c:pt>
                <c:pt idx="12">
                  <c:v>0.11609119348397605</c:v>
                </c:pt>
                <c:pt idx="13">
                  <c:v>0.1102992045276928</c:v>
                </c:pt>
                <c:pt idx="14">
                  <c:v>0.10443121623238098</c:v>
                </c:pt>
                <c:pt idx="15">
                  <c:v>9.8440999937846121E-2</c:v>
                </c:pt>
                <c:pt idx="16">
                  <c:v>9.2415762240842483E-2</c:v>
                </c:pt>
                <c:pt idx="17">
                  <c:v>8.6383277951946738E-2</c:v>
                </c:pt>
                <c:pt idx="18">
                  <c:v>8.0350870768955487E-2</c:v>
                </c:pt>
                <c:pt idx="19">
                  <c:v>7.4320924716481246E-2</c:v>
                </c:pt>
                <c:pt idx="20">
                  <c:v>6.8396744438076626E-2</c:v>
                </c:pt>
                <c:pt idx="21">
                  <c:v>5.733848160854628E-2</c:v>
                </c:pt>
                <c:pt idx="22">
                  <c:v>4.2338669299978995E-2</c:v>
                </c:pt>
                <c:pt idx="23">
                  <c:v>2.7890041434745966E-2</c:v>
                </c:pt>
                <c:pt idx="24">
                  <c:v>1.2681683837894295E-2</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4-29BC-43FF-8E32-2FC1CA71BDA2}"/>
            </c:ext>
          </c:extLst>
        </c:ser>
        <c:ser>
          <c:idx val="3"/>
          <c:order val="3"/>
          <c:tx>
            <c:strRef>
              <c:f>実行結果サンプル!$H$77</c:f>
              <c:strCache>
                <c:ptCount val="1"/>
                <c:pt idx="0">
                  <c:v>味の素</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実行結果サンプル!$H$78:$H$128</c:f>
              <c:numCache>
                <c:formatCode>General</c:formatCode>
                <c:ptCount val="51"/>
                <c:pt idx="0">
                  <c:v>1.0000000000000002E-2</c:v>
                </c:pt>
                <c:pt idx="1">
                  <c:v>0.01</c:v>
                </c:pt>
                <c:pt idx="2">
                  <c:v>0.01</c:v>
                </c:pt>
                <c:pt idx="3">
                  <c:v>0.01</c:v>
                </c:pt>
                <c:pt idx="4">
                  <c:v>0.01</c:v>
                </c:pt>
                <c:pt idx="5">
                  <c:v>0.01</c:v>
                </c:pt>
                <c:pt idx="6">
                  <c:v>0.01</c:v>
                </c:pt>
                <c:pt idx="7">
                  <c:v>1.0000000000000002E-2</c:v>
                </c:pt>
                <c:pt idx="8">
                  <c:v>0.01</c:v>
                </c:pt>
                <c:pt idx="9">
                  <c:v>0.01</c:v>
                </c:pt>
                <c:pt idx="10">
                  <c:v>1.3221795743521898E-2</c:v>
                </c:pt>
                <c:pt idx="11">
                  <c:v>2.5654519309206744E-2</c:v>
                </c:pt>
                <c:pt idx="12">
                  <c:v>3.8006482399183174E-2</c:v>
                </c:pt>
                <c:pt idx="13">
                  <c:v>4.9782289738942095E-2</c:v>
                </c:pt>
                <c:pt idx="14">
                  <c:v>5.786022599207738E-2</c:v>
                </c:pt>
                <c:pt idx="15">
                  <c:v>6.566981621567565E-2</c:v>
                </c:pt>
                <c:pt idx="16">
                  <c:v>7.3510338246736792E-2</c:v>
                </c:pt>
                <c:pt idx="17">
                  <c:v>8.1347922298569242E-2</c:v>
                </c:pt>
                <c:pt idx="18">
                  <c:v>8.9186541878925996E-2</c:v>
                </c:pt>
                <c:pt idx="19">
                  <c:v>9.7025776635620897E-2</c:v>
                </c:pt>
                <c:pt idx="20">
                  <c:v>0.10497633694587742</c:v>
                </c:pt>
                <c:pt idx="21">
                  <c:v>0.11670444876641849</c:v>
                </c:pt>
                <c:pt idx="22">
                  <c:v>0.13159025908456923</c:v>
                </c:pt>
                <c:pt idx="23">
                  <c:v>0.14669250318457408</c:v>
                </c:pt>
                <c:pt idx="24">
                  <c:v>0.15987869631978335</c:v>
                </c:pt>
                <c:pt idx="25">
                  <c:v>0.17225586481577851</c:v>
                </c:pt>
                <c:pt idx="26">
                  <c:v>0.18635183019423618</c:v>
                </c:pt>
                <c:pt idx="27">
                  <c:v>0.2011325887679431</c:v>
                </c:pt>
                <c:pt idx="28">
                  <c:v>0.21590414484764153</c:v>
                </c:pt>
                <c:pt idx="29">
                  <c:v>0.2307251274333505</c:v>
                </c:pt>
                <c:pt idx="30">
                  <c:v>0.24523780336669995</c:v>
                </c:pt>
                <c:pt idx="31">
                  <c:v>0.25673500922912257</c:v>
                </c:pt>
                <c:pt idx="32">
                  <c:v>0.26809456044417157</c:v>
                </c:pt>
                <c:pt idx="33">
                  <c:v>0.27968484688986167</c:v>
                </c:pt>
                <c:pt idx="34">
                  <c:v>0.2912089382719506</c:v>
                </c:pt>
                <c:pt idx="35">
                  <c:v>0.30447812510994499</c:v>
                </c:pt>
                <c:pt idx="36">
                  <c:v>0.31953278650508232</c:v>
                </c:pt>
                <c:pt idx="37">
                  <c:v>0.33465747085266179</c:v>
                </c:pt>
                <c:pt idx="38">
                  <c:v>0.34974572698596146</c:v>
                </c:pt>
                <c:pt idx="39">
                  <c:v>0.36480036071936367</c:v>
                </c:pt>
                <c:pt idx="40">
                  <c:v>0.3799680092603358</c:v>
                </c:pt>
                <c:pt idx="41">
                  <c:v>0.394819262016322</c:v>
                </c:pt>
                <c:pt idx="42">
                  <c:v>0.41000576000332789</c:v>
                </c:pt>
                <c:pt idx="43">
                  <c:v>0.43715585550511782</c:v>
                </c:pt>
                <c:pt idx="44">
                  <c:v>0.47389690050494143</c:v>
                </c:pt>
                <c:pt idx="45">
                  <c:v>0.510553880334642</c:v>
                </c:pt>
                <c:pt idx="46">
                  <c:v>0.55378706425873869</c:v>
                </c:pt>
                <c:pt idx="47">
                  <c:v>0.60195149854238927</c:v>
                </c:pt>
                <c:pt idx="48">
                  <c:v>0.65220374169698181</c:v>
                </c:pt>
                <c:pt idx="49">
                  <c:v>0.70969798693900066</c:v>
                </c:pt>
                <c:pt idx="50">
                  <c:v>0.77445026764015557</c:v>
                </c:pt>
              </c:numCache>
            </c:numRef>
          </c:val>
          <c:extLst>
            <c:ext xmlns:c16="http://schemas.microsoft.com/office/drawing/2014/chart" uri="{C3380CC4-5D6E-409C-BE32-E72D297353CC}">
              <c16:uniqueId val="{00000005-29BC-43FF-8E32-2FC1CA71BDA2}"/>
            </c:ext>
          </c:extLst>
        </c:ser>
        <c:ser>
          <c:idx val="4"/>
          <c:order val="4"/>
          <c:tx>
            <c:strRef>
              <c:f>実行結果サンプル!$I$77</c:f>
              <c:strCache>
                <c:ptCount val="1"/>
                <c:pt idx="0">
                  <c:v>サンフロンティア不動産</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実行結果サンプル!$I$78:$I$128</c:f>
              <c:numCache>
                <c:formatCode>General</c:formatCode>
                <c:ptCount val="51"/>
                <c:pt idx="0">
                  <c:v>1.0000000000000002E-2</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6-29BC-43FF-8E32-2FC1CA71BDA2}"/>
            </c:ext>
          </c:extLst>
        </c:ser>
        <c:ser>
          <c:idx val="5"/>
          <c:order val="5"/>
          <c:tx>
            <c:strRef>
              <c:f>実行結果サンプル!$J$77</c:f>
              <c:strCache>
                <c:ptCount val="1"/>
                <c:pt idx="0">
                  <c:v>応用地質</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実行結果サンプル!$J$78:$J$128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1.3873939949731687E-2</c:v>
                </c:pt>
                <c:pt idx="15">
                  <c:v>1.8343354047324997E-2</c:v>
                </c:pt>
                <c:pt idx="16">
                  <c:v>2.2813474211434051E-2</c:v>
                </c:pt>
                <c:pt idx="17">
                  <c:v>2.7283789727590341E-2</c:v>
                </c:pt>
                <c:pt idx="18">
                  <c:v>3.1751589021282015E-2</c:v>
                </c:pt>
                <c:pt idx="19">
                  <c:v>3.6219179718049256E-2</c:v>
                </c:pt>
                <c:pt idx="20">
                  <c:v>4.0649202818000538E-2</c:v>
                </c:pt>
                <c:pt idx="21">
                  <c:v>4.5148955782699701E-2</c:v>
                </c:pt>
                <c:pt idx="22">
                  <c:v>4.994183138183534E-2</c:v>
                </c:pt>
                <c:pt idx="23">
                  <c:v>5.448792824095481E-2</c:v>
                </c:pt>
                <c:pt idx="24">
                  <c:v>5.8412931928945887E-2</c:v>
                </c:pt>
                <c:pt idx="25">
                  <c:v>5.9998926392420757E-2</c:v>
                </c:pt>
                <c:pt idx="26">
                  <c:v>6.1455594790468575E-2</c:v>
                </c:pt>
                <c:pt idx="27">
                  <c:v>6.3119953245296095E-2</c:v>
                </c:pt>
                <c:pt idx="28">
                  <c:v>6.4634303531614284E-2</c:v>
                </c:pt>
                <c:pt idx="29">
                  <c:v>6.6148112259450442E-2</c:v>
                </c:pt>
                <c:pt idx="30">
                  <c:v>6.7234776603701335E-2</c:v>
                </c:pt>
                <c:pt idx="31">
                  <c:v>6.6183190382631263E-2</c:v>
                </c:pt>
                <c:pt idx="32">
                  <c:v>6.5322255691387276E-2</c:v>
                </c:pt>
                <c:pt idx="33">
                  <c:v>6.4212586266427216E-2</c:v>
                </c:pt>
                <c:pt idx="34">
                  <c:v>6.3260495832623498E-2</c:v>
                </c:pt>
                <c:pt idx="35">
                  <c:v>6.2199864592571243E-2</c:v>
                </c:pt>
                <c:pt idx="36">
                  <c:v>6.2236238584702432E-2</c:v>
                </c:pt>
                <c:pt idx="37">
                  <c:v>6.2310556995787393E-2</c:v>
                </c:pt>
                <c:pt idx="38">
                  <c:v>6.2388735776585505E-2</c:v>
                </c:pt>
                <c:pt idx="39">
                  <c:v>6.2470071560923005E-2</c:v>
                </c:pt>
                <c:pt idx="40">
                  <c:v>6.2544817136398256E-2</c:v>
                </c:pt>
                <c:pt idx="41">
                  <c:v>6.2761219322892109E-2</c:v>
                </c:pt>
                <c:pt idx="42">
                  <c:v>6.2978809360742169E-2</c:v>
                </c:pt>
                <c:pt idx="43">
                  <c:v>5.2393361993531569E-2</c:v>
                </c:pt>
                <c:pt idx="44">
                  <c:v>3.340291206480564E-2</c:v>
                </c:pt>
                <c:pt idx="45">
                  <c:v>1.4640012754716375E-2</c:v>
                </c:pt>
                <c:pt idx="46">
                  <c:v>0.01</c:v>
                </c:pt>
                <c:pt idx="47">
                  <c:v>0.01</c:v>
                </c:pt>
                <c:pt idx="48">
                  <c:v>0.01</c:v>
                </c:pt>
                <c:pt idx="49">
                  <c:v>0.01</c:v>
                </c:pt>
                <c:pt idx="50">
                  <c:v>0.01</c:v>
                </c:pt>
              </c:numCache>
            </c:numRef>
          </c:val>
          <c:extLst>
            <c:ext xmlns:c16="http://schemas.microsoft.com/office/drawing/2014/chart" uri="{C3380CC4-5D6E-409C-BE32-E72D297353CC}">
              <c16:uniqueId val="{00000007-29BC-43FF-8E32-2FC1CA71BDA2}"/>
            </c:ext>
          </c:extLst>
        </c:ser>
        <c:ser>
          <c:idx val="6"/>
          <c:order val="6"/>
          <c:tx>
            <c:strRef>
              <c:f>実行結果サンプル!$K$77</c:f>
              <c:strCache>
                <c:ptCount val="1"/>
                <c:pt idx="0">
                  <c:v>建設技術研究所</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実行結果サンプル!$K$78:$K$128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1.0000000000000002E-2</c:v>
                </c:pt>
                <c:pt idx="42">
                  <c:v>1.0114314841643728E-2</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8-29BC-43FF-8E32-2FC1CA71BDA2}"/>
            </c:ext>
          </c:extLst>
        </c:ser>
        <c:ser>
          <c:idx val="7"/>
          <c:order val="7"/>
          <c:tx>
            <c:strRef>
              <c:f>実行結果サンプル!$L$77</c:f>
              <c:strCache>
                <c:ptCount val="1"/>
                <c:pt idx="0">
                  <c:v>オリジナル設計</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実行結果サンプル!$L$78:$L$128</c:f>
              <c:numCache>
                <c:formatCode>General</c:formatCode>
                <c:ptCount val="51"/>
                <c:pt idx="0">
                  <c:v>0.01</c:v>
                </c:pt>
                <c:pt idx="1">
                  <c:v>2.1840407444367476E-2</c:v>
                </c:pt>
                <c:pt idx="2">
                  <c:v>5.193530172512064E-2</c:v>
                </c:pt>
                <c:pt idx="3">
                  <c:v>7.2021825094644054E-2</c:v>
                </c:pt>
                <c:pt idx="4">
                  <c:v>8.5150700012319364E-2</c:v>
                </c:pt>
                <c:pt idx="5">
                  <c:v>8.1691373721227672E-2</c:v>
                </c:pt>
                <c:pt idx="6">
                  <c:v>7.8307953593737281E-2</c:v>
                </c:pt>
                <c:pt idx="7">
                  <c:v>7.4858337321209251E-2</c:v>
                </c:pt>
                <c:pt idx="8">
                  <c:v>7.0991375715143606E-2</c:v>
                </c:pt>
                <c:pt idx="9">
                  <c:v>6.7402967214031079E-2</c:v>
                </c:pt>
                <c:pt idx="10">
                  <c:v>6.4683855670157109E-2</c:v>
                </c:pt>
                <c:pt idx="11">
                  <c:v>6.3890279814941775E-2</c:v>
                </c:pt>
                <c:pt idx="12">
                  <c:v>6.3215773120332816E-2</c:v>
                </c:pt>
                <c:pt idx="13">
                  <c:v>6.2400411107116069E-2</c:v>
                </c:pt>
                <c:pt idx="14">
                  <c:v>6.2149941415384553E-2</c:v>
                </c:pt>
                <c:pt idx="15">
                  <c:v>6.1658831636381077E-2</c:v>
                </c:pt>
                <c:pt idx="16">
                  <c:v>6.1176554051291521E-2</c:v>
                </c:pt>
                <c:pt idx="17">
                  <c:v>6.0687504947971115E-2</c:v>
                </c:pt>
                <c:pt idx="18">
                  <c:v>6.0191668492087728E-2</c:v>
                </c:pt>
                <c:pt idx="19">
                  <c:v>5.9697360281179418E-2</c:v>
                </c:pt>
                <c:pt idx="20">
                  <c:v>5.9220236748637557E-2</c:v>
                </c:pt>
                <c:pt idx="21">
                  <c:v>5.8789586044127103E-2</c:v>
                </c:pt>
                <c:pt idx="22">
                  <c:v>5.9247584962584768E-2</c:v>
                </c:pt>
                <c:pt idx="23">
                  <c:v>5.978779777828018E-2</c:v>
                </c:pt>
                <c:pt idx="24">
                  <c:v>5.9854237541240099E-2</c:v>
                </c:pt>
                <c:pt idx="25">
                  <c:v>5.7329008576568107E-2</c:v>
                </c:pt>
                <c:pt idx="26">
                  <c:v>5.3171575508744233E-2</c:v>
                </c:pt>
                <c:pt idx="27">
                  <c:v>4.890944479619086E-2</c:v>
                </c:pt>
                <c:pt idx="28">
                  <c:v>4.4143275573200705E-2</c:v>
                </c:pt>
                <c:pt idx="29">
                  <c:v>3.9360019011092991E-2</c:v>
                </c:pt>
                <c:pt idx="30">
                  <c:v>3.425108701937498E-2</c:v>
                </c:pt>
                <c:pt idx="31">
                  <c:v>2.9723179171271059E-2</c:v>
                </c:pt>
                <c:pt idx="32">
                  <c:v>2.5387669963013205E-2</c:v>
                </c:pt>
                <c:pt idx="33">
                  <c:v>2.06662346609899E-2</c:v>
                </c:pt>
                <c:pt idx="34">
                  <c:v>1.5934978314427941E-2</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9-29BC-43FF-8E32-2FC1CA71BDA2}"/>
            </c:ext>
          </c:extLst>
        </c:ser>
        <c:ser>
          <c:idx val="8"/>
          <c:order val="8"/>
          <c:tx>
            <c:strRef>
              <c:f>実行結果サンプル!$M$77</c:f>
              <c:strCache>
                <c:ptCount val="1"/>
                <c:pt idx="0">
                  <c:v>関電工</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実行結果サンプル!$M$78:$M$128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1.9716176721459915E-2</c:v>
                </c:pt>
                <c:pt idx="26">
                  <c:v>3.1319682928181714E-2</c:v>
                </c:pt>
                <c:pt idx="27">
                  <c:v>4.3396709153823675E-2</c:v>
                </c:pt>
                <c:pt idx="28">
                  <c:v>5.5510728121604777E-2</c:v>
                </c:pt>
                <c:pt idx="29">
                  <c:v>6.7638711109347577E-2</c:v>
                </c:pt>
                <c:pt idx="30">
                  <c:v>7.920521094553773E-2</c:v>
                </c:pt>
                <c:pt idx="31">
                  <c:v>8.7427273984558601E-2</c:v>
                </c:pt>
                <c:pt idx="32">
                  <c:v>9.590567793661324E-2</c:v>
                </c:pt>
                <c:pt idx="33">
                  <c:v>0.10442353539523098</c:v>
                </c:pt>
                <c:pt idx="34">
                  <c:v>0.11317693501970044</c:v>
                </c:pt>
                <c:pt idx="35">
                  <c:v>0.12002028791062908</c:v>
                </c:pt>
                <c:pt idx="36">
                  <c:v>0.12619938782551274</c:v>
                </c:pt>
                <c:pt idx="37">
                  <c:v>0.13234017459341293</c:v>
                </c:pt>
                <c:pt idx="38">
                  <c:v>0.13846153666900035</c:v>
                </c:pt>
                <c:pt idx="39">
                  <c:v>0.14456623389797904</c:v>
                </c:pt>
                <c:pt idx="40">
                  <c:v>0.15072254855858405</c:v>
                </c:pt>
                <c:pt idx="41">
                  <c:v>0.15695723717316856</c:v>
                </c:pt>
                <c:pt idx="42">
                  <c:v>0.16334344167708345</c:v>
                </c:pt>
                <c:pt idx="43">
                  <c:v>0.15998258733591647</c:v>
                </c:pt>
                <c:pt idx="44">
                  <c:v>0.14884736715447461</c:v>
                </c:pt>
                <c:pt idx="45">
                  <c:v>0.13771286180036157</c:v>
                </c:pt>
                <c:pt idx="46">
                  <c:v>0.12027878128155384</c:v>
                </c:pt>
                <c:pt idx="47">
                  <c:v>8.4016363271619349E-2</c:v>
                </c:pt>
                <c:pt idx="48">
                  <c:v>3.5264946460260349E-2</c:v>
                </c:pt>
                <c:pt idx="49">
                  <c:v>1.0000000000000002E-2</c:v>
                </c:pt>
                <c:pt idx="50">
                  <c:v>1.0000000000000002E-2</c:v>
                </c:pt>
              </c:numCache>
            </c:numRef>
          </c:val>
          <c:extLst>
            <c:ext xmlns:c16="http://schemas.microsoft.com/office/drawing/2014/chart" uri="{C3380CC4-5D6E-409C-BE32-E72D297353CC}">
              <c16:uniqueId val="{0000000A-29BC-43FF-8E32-2FC1CA71BDA2}"/>
            </c:ext>
          </c:extLst>
        </c:ser>
        <c:ser>
          <c:idx val="9"/>
          <c:order val="9"/>
          <c:tx>
            <c:strRef>
              <c:f>実行結果サンプル!$N$77</c:f>
              <c:strCache>
                <c:ptCount val="1"/>
                <c:pt idx="0">
                  <c:v>モリタホールディングス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実行結果サンプル!$N$78:$N$128</c:f>
              <c:numCache>
                <c:formatCode>General</c:formatCode>
                <c:ptCount val="51"/>
                <c:pt idx="0">
                  <c:v>0.01</c:v>
                </c:pt>
                <c:pt idx="1">
                  <c:v>0.01</c:v>
                </c:pt>
                <c:pt idx="2">
                  <c:v>0.01</c:v>
                </c:pt>
                <c:pt idx="3">
                  <c:v>1.6215823535071498E-2</c:v>
                </c:pt>
                <c:pt idx="4">
                  <c:v>3.089353189194842E-2</c:v>
                </c:pt>
                <c:pt idx="5">
                  <c:v>3.8248748354335262E-2</c:v>
                </c:pt>
                <c:pt idx="6">
                  <c:v>4.546579711377368E-2</c:v>
                </c:pt>
                <c:pt idx="7">
                  <c:v>5.2766677219044045E-2</c:v>
                </c:pt>
                <c:pt idx="8">
                  <c:v>6.0406824627116606E-2</c:v>
                </c:pt>
                <c:pt idx="9">
                  <c:v>6.7845253320793567E-2</c:v>
                </c:pt>
                <c:pt idx="10">
                  <c:v>7.343551481671369E-2</c:v>
                </c:pt>
                <c:pt idx="11">
                  <c:v>7.367850007774196E-2</c:v>
                </c:pt>
                <c:pt idx="12">
                  <c:v>7.4094596433676538E-2</c:v>
                </c:pt>
                <c:pt idx="13">
                  <c:v>7.3829315876417473E-2</c:v>
                </c:pt>
                <c:pt idx="14">
                  <c:v>6.9441979880112914E-2</c:v>
                </c:pt>
                <c:pt idx="15">
                  <c:v>6.5708641433743914E-2</c:v>
                </c:pt>
                <c:pt idx="16">
                  <c:v>6.1951920921766657E-2</c:v>
                </c:pt>
                <c:pt idx="17">
                  <c:v>5.8190081974404964E-2</c:v>
                </c:pt>
                <c:pt idx="18">
                  <c:v>5.4428661901289734E-2</c:v>
                </c:pt>
                <c:pt idx="19">
                  <c:v>5.0668681148815911E-2</c:v>
                </c:pt>
                <c:pt idx="20">
                  <c:v>4.6982563763528454E-2</c:v>
                </c:pt>
                <c:pt idx="21">
                  <c:v>4.255064842146547E-2</c:v>
                </c:pt>
                <c:pt idx="22">
                  <c:v>3.7073914851362792E-2</c:v>
                </c:pt>
                <c:pt idx="23">
                  <c:v>3.1437079505167671E-2</c:v>
                </c:pt>
                <c:pt idx="24">
                  <c:v>2.8801791103945401E-2</c:v>
                </c:pt>
                <c:pt idx="25">
                  <c:v>2.1598800892248096E-2</c:v>
                </c:pt>
                <c:pt idx="26">
                  <c:v>1.0188691363337318E-2</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B-29BC-43FF-8E32-2FC1CA71BDA2}"/>
            </c:ext>
          </c:extLst>
        </c:ser>
        <c:ser>
          <c:idx val="10"/>
          <c:order val="10"/>
          <c:tx>
            <c:strRef>
              <c:f>実行結果サンプル!$O$77</c:f>
              <c:strCache>
                <c:ptCount val="1"/>
                <c:pt idx="0">
                  <c:v>井村屋グループ</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実行結果サンプル!$O$78:$O$128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C-29BC-43FF-8E32-2FC1CA71BDA2}"/>
            </c:ext>
          </c:extLst>
        </c:ser>
        <c:ser>
          <c:idx val="11"/>
          <c:order val="11"/>
          <c:tx>
            <c:strRef>
              <c:f>実行結果サンプル!$P$77</c:f>
              <c:strCache>
                <c:ptCount val="1"/>
                <c:pt idx="0">
                  <c:v>ＮＪＳ</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実行結果サンプル!$P$78:$P$128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1.5911076799358975E-2</c:v>
                </c:pt>
                <c:pt idx="25">
                  <c:v>1.9721308927277411E-2</c:v>
                </c:pt>
                <c:pt idx="26">
                  <c:v>2.240502361408999E-2</c:v>
                </c:pt>
                <c:pt idx="27">
                  <c:v>2.7728863049842692E-2</c:v>
                </c:pt>
                <c:pt idx="28">
                  <c:v>3.2938554638242877E-2</c:v>
                </c:pt>
                <c:pt idx="29">
                  <c:v>3.8165834163188028E-2</c:v>
                </c:pt>
                <c:pt idx="30">
                  <c:v>4.345995570638643E-2</c:v>
                </c:pt>
                <c:pt idx="31">
                  <c:v>4.938863382449734E-2</c:v>
                </c:pt>
                <c:pt idx="32">
                  <c:v>5.495610795942607E-2</c:v>
                </c:pt>
                <c:pt idx="33">
                  <c:v>6.0397265852303497E-2</c:v>
                </c:pt>
                <c:pt idx="34">
                  <c:v>6.5948174565109985E-2</c:v>
                </c:pt>
                <c:pt idx="35">
                  <c:v>7.0086566884962412E-2</c:v>
                </c:pt>
                <c:pt idx="36">
                  <c:v>7.2612917440824737E-2</c:v>
                </c:pt>
                <c:pt idx="37">
                  <c:v>7.5063060790867206E-2</c:v>
                </c:pt>
                <c:pt idx="38">
                  <c:v>7.7506709850755529E-2</c:v>
                </c:pt>
                <c:pt idx="39">
                  <c:v>7.9945269223290219E-2</c:v>
                </c:pt>
                <c:pt idx="40">
                  <c:v>8.2378016300875004E-2</c:v>
                </c:pt>
                <c:pt idx="41">
                  <c:v>8.4869890732065925E-2</c:v>
                </c:pt>
                <c:pt idx="42">
                  <c:v>8.6999611513604441E-2</c:v>
                </c:pt>
                <c:pt idx="43">
                  <c:v>7.9233824523113228E-2</c:v>
                </c:pt>
                <c:pt idx="44">
                  <c:v>6.3366338637167799E-2</c:v>
                </c:pt>
                <c:pt idx="45">
                  <c:v>4.7610297133059275E-2</c:v>
                </c:pt>
                <c:pt idx="46">
                  <c:v>2.218834033585549E-2</c:v>
                </c:pt>
                <c:pt idx="47">
                  <c:v>0.01</c:v>
                </c:pt>
                <c:pt idx="48">
                  <c:v>0.01</c:v>
                </c:pt>
                <c:pt idx="49">
                  <c:v>0.01</c:v>
                </c:pt>
                <c:pt idx="50">
                  <c:v>0.01</c:v>
                </c:pt>
              </c:numCache>
            </c:numRef>
          </c:val>
          <c:extLst>
            <c:ext xmlns:c16="http://schemas.microsoft.com/office/drawing/2014/chart" uri="{C3380CC4-5D6E-409C-BE32-E72D297353CC}">
              <c16:uniqueId val="{0000000D-29BC-43FF-8E32-2FC1CA71BDA2}"/>
            </c:ext>
          </c:extLst>
        </c:ser>
        <c:ser>
          <c:idx val="12"/>
          <c:order val="12"/>
          <c:tx>
            <c:strRef>
              <c:f>実行結果サンプル!$Q$77</c:f>
              <c:strCache>
                <c:ptCount val="1"/>
                <c:pt idx="0">
                  <c:v>協和コンサルタンツ</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実行結果サンプル!$Q$78:$Q$128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E-29BC-43FF-8E32-2FC1CA71BDA2}"/>
            </c:ext>
          </c:extLst>
        </c:ser>
        <c:ser>
          <c:idx val="13"/>
          <c:order val="13"/>
          <c:tx>
            <c:strRef>
              <c:f>実行結果サンプル!$R$77</c:f>
              <c:strCache>
                <c:ptCount val="1"/>
                <c:pt idx="0">
                  <c:v>因幡電機産業</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実行結果サンプル!$R$78:$R$128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1.2239399182783904E-2</c:v>
                </c:pt>
                <c:pt idx="14">
                  <c:v>2.61267647965269E-2</c:v>
                </c:pt>
                <c:pt idx="15">
                  <c:v>3.9325220623770113E-2</c:v>
                </c:pt>
                <c:pt idx="16">
                  <c:v>5.2523706560343844E-2</c:v>
                </c:pt>
                <c:pt idx="17">
                  <c:v>6.5722975090716368E-2</c:v>
                </c:pt>
                <c:pt idx="18">
                  <c:v>7.8924894739054396E-2</c:v>
                </c:pt>
                <c:pt idx="19">
                  <c:v>9.2123605863810493E-2</c:v>
                </c:pt>
                <c:pt idx="20">
                  <c:v>0.1052640048413067</c:v>
                </c:pt>
                <c:pt idx="21">
                  <c:v>0.11544729907242615</c:v>
                </c:pt>
                <c:pt idx="22">
                  <c:v>0.12414058753247396</c:v>
                </c:pt>
                <c:pt idx="23">
                  <c:v>0.13239965800615933</c:v>
                </c:pt>
                <c:pt idx="24">
                  <c:v>0.13574097990189465</c:v>
                </c:pt>
                <c:pt idx="25">
                  <c:v>0.13568148689983417</c:v>
                </c:pt>
                <c:pt idx="26">
                  <c:v>0.13356608342417775</c:v>
                </c:pt>
                <c:pt idx="27">
                  <c:v>0.12136030130699313</c:v>
                </c:pt>
                <c:pt idx="28">
                  <c:v>0.1089323036340348</c:v>
                </c:pt>
                <c:pt idx="29">
                  <c:v>9.6437323043192233E-2</c:v>
                </c:pt>
                <c:pt idx="30">
                  <c:v>8.3309191192295975E-2</c:v>
                </c:pt>
                <c:pt idx="31">
                  <c:v>6.6420399238909439E-2</c:v>
                </c:pt>
                <c:pt idx="32">
                  <c:v>5.0538443800392088E-2</c:v>
                </c:pt>
                <c:pt idx="33">
                  <c:v>3.4354900220421099E-2</c:v>
                </c:pt>
                <c:pt idx="34">
                  <c:v>1.7224167664747839E-2</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F-29BC-43FF-8E32-2FC1CA71BDA2}"/>
            </c:ext>
          </c:extLst>
        </c:ser>
        <c:ser>
          <c:idx val="14"/>
          <c:order val="14"/>
          <c:tx>
            <c:strRef>
              <c:f>実行結果サンプル!$S$77</c:f>
              <c:strCache>
                <c:ptCount val="1"/>
                <c:pt idx="0">
                  <c:v>Ｅ・Ｊホールディングス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実行結果サンプル!$S$78:$S$128</c:f>
              <c:numCache>
                <c:formatCode>General</c:formatCode>
                <c:ptCount val="51"/>
                <c:pt idx="0">
                  <c:v>9.9999999999999985E-3</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1.1251091431330811E-2</c:v>
                </c:pt>
                <c:pt idx="31">
                  <c:v>2.1153275222695733E-2</c:v>
                </c:pt>
                <c:pt idx="32">
                  <c:v>3.1073865285218723E-2</c:v>
                </c:pt>
                <c:pt idx="33">
                  <c:v>4.0807312017482208E-2</c:v>
                </c:pt>
                <c:pt idx="34">
                  <c:v>5.0675178572218392E-2</c:v>
                </c:pt>
                <c:pt idx="35">
                  <c:v>5.9554459934423029E-2</c:v>
                </c:pt>
                <c:pt idx="36">
                  <c:v>6.7162424273877988E-2</c:v>
                </c:pt>
                <c:pt idx="37">
                  <c:v>7.48301326303248E-2</c:v>
                </c:pt>
                <c:pt idx="38">
                  <c:v>8.2472101335345396E-2</c:v>
                </c:pt>
                <c:pt idx="39">
                  <c:v>9.0080910106613274E-2</c:v>
                </c:pt>
                <c:pt idx="40">
                  <c:v>9.7679681431274326E-2</c:v>
                </c:pt>
                <c:pt idx="41">
                  <c:v>0.10540575785838625</c:v>
                </c:pt>
                <c:pt idx="42">
                  <c:v>0.11272538658716066</c:v>
                </c:pt>
                <c:pt idx="43">
                  <c:v>0.12123437064232076</c:v>
                </c:pt>
                <c:pt idx="44">
                  <c:v>0.13048648163861037</c:v>
                </c:pt>
                <c:pt idx="45">
                  <c:v>0.13948294797722052</c:v>
                </c:pt>
                <c:pt idx="46">
                  <c:v>0.1437458141238519</c:v>
                </c:pt>
                <c:pt idx="47">
                  <c:v>0.14403213818599131</c:v>
                </c:pt>
                <c:pt idx="48">
                  <c:v>0.1425313118427578</c:v>
                </c:pt>
                <c:pt idx="49">
                  <c:v>0.11030201306099928</c:v>
                </c:pt>
                <c:pt idx="50">
                  <c:v>4.5549732359844247E-2</c:v>
                </c:pt>
              </c:numCache>
            </c:numRef>
          </c:val>
          <c:extLst>
            <c:ext xmlns:c16="http://schemas.microsoft.com/office/drawing/2014/chart" uri="{C3380CC4-5D6E-409C-BE32-E72D297353CC}">
              <c16:uniqueId val="{00000010-29BC-43FF-8E32-2FC1CA71BDA2}"/>
            </c:ext>
          </c:extLst>
        </c:ser>
        <c:ser>
          <c:idx val="15"/>
          <c:order val="15"/>
          <c:tx>
            <c:strRef>
              <c:f>実行結果サンプル!$T$77</c:f>
              <c:strCache>
                <c:ptCount val="1"/>
                <c:pt idx="0">
                  <c:v>ジョイフル本田</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実行結果サンプル!$T$78:$T$128</c:f>
              <c:numCache>
                <c:formatCode>General</c:formatCode>
                <c:ptCount val="51"/>
                <c:pt idx="0">
                  <c:v>9.9999999999999985E-3</c:v>
                </c:pt>
                <c:pt idx="1">
                  <c:v>0.01</c:v>
                </c:pt>
                <c:pt idx="2">
                  <c:v>3.5439668269959992E-2</c:v>
                </c:pt>
                <c:pt idx="3">
                  <c:v>5.8191482901974831E-2</c:v>
                </c:pt>
                <c:pt idx="4">
                  <c:v>7.4013526307350599E-2</c:v>
                </c:pt>
                <c:pt idx="5">
                  <c:v>7.9883507109321947E-2</c:v>
                </c:pt>
                <c:pt idx="6">
                  <c:v>8.5813780961467898E-2</c:v>
                </c:pt>
                <c:pt idx="7">
                  <c:v>9.181377858765645E-2</c:v>
                </c:pt>
                <c:pt idx="8">
                  <c:v>9.7738309139363572E-2</c:v>
                </c:pt>
                <c:pt idx="9">
                  <c:v>0.10367215314304376</c:v>
                </c:pt>
                <c:pt idx="10">
                  <c:v>0.10791727882188107</c:v>
                </c:pt>
                <c:pt idx="11">
                  <c:v>0.10727390065818687</c:v>
                </c:pt>
                <c:pt idx="12">
                  <c:v>0.10677295304212603</c:v>
                </c:pt>
                <c:pt idx="13">
                  <c:v>0.10622788541679121</c:v>
                </c:pt>
                <c:pt idx="14">
                  <c:v>0.10439096547231304</c:v>
                </c:pt>
                <c:pt idx="15">
                  <c:v>0.1024772092692111</c:v>
                </c:pt>
                <c:pt idx="16">
                  <c:v>0.1005574740697439</c:v>
                </c:pt>
                <c:pt idx="17">
                  <c:v>9.8632200558673735E-2</c:v>
                </c:pt>
                <c:pt idx="18">
                  <c:v>9.6705480406186317E-2</c:v>
                </c:pt>
                <c:pt idx="19">
                  <c:v>9.4781157970916879E-2</c:v>
                </c:pt>
                <c:pt idx="20">
                  <c:v>9.2853260848891034E-2</c:v>
                </c:pt>
                <c:pt idx="21">
                  <c:v>8.894034792102172E-2</c:v>
                </c:pt>
                <c:pt idx="22">
                  <c:v>8.3574734444379017E-2</c:v>
                </c:pt>
                <c:pt idx="23">
                  <c:v>7.8537578806916752E-2</c:v>
                </c:pt>
                <c:pt idx="24">
                  <c:v>7.352575008936782E-2</c:v>
                </c:pt>
                <c:pt idx="25">
                  <c:v>6.8909231074764779E-2</c:v>
                </c:pt>
                <c:pt idx="26">
                  <c:v>6.3643029431885281E-2</c:v>
                </c:pt>
                <c:pt idx="27">
                  <c:v>5.6509843244187646E-2</c:v>
                </c:pt>
                <c:pt idx="28">
                  <c:v>4.9368364226941512E-2</c:v>
                </c:pt>
                <c:pt idx="29">
                  <c:v>4.2196594531761784E-2</c:v>
                </c:pt>
                <c:pt idx="30">
                  <c:v>3.5231180966109152E-2</c:v>
                </c:pt>
                <c:pt idx="31">
                  <c:v>2.8703207082184802E-2</c:v>
                </c:pt>
                <c:pt idx="32">
                  <c:v>2.1737218413482459E-2</c:v>
                </c:pt>
                <c:pt idx="33">
                  <c:v>1.507628274694112E-2</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1-29BC-43FF-8E32-2FC1CA71BDA2}"/>
            </c:ext>
          </c:extLst>
        </c:ser>
        <c:ser>
          <c:idx val="16"/>
          <c:order val="16"/>
          <c:tx>
            <c:strRef>
              <c:f>実行結果サンプル!$U$77</c:f>
              <c:strCache>
                <c:ptCount val="1"/>
                <c:pt idx="0">
                  <c:v>オオバ</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実行結果サンプル!$U$78:$U$128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2-29BC-43FF-8E32-2FC1CA71BDA2}"/>
            </c:ext>
          </c:extLst>
        </c:ser>
        <c:ser>
          <c:idx val="17"/>
          <c:order val="17"/>
          <c:tx>
            <c:strRef>
              <c:f>実行結果サンプル!$V$77</c:f>
              <c:strCache>
                <c:ptCount val="1"/>
                <c:pt idx="0">
                  <c:v>石井食品</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実行結果サンプル!$V$78:$V$128</c:f>
              <c:numCache>
                <c:formatCode>General</c:formatCode>
                <c:ptCount val="51"/>
                <c:pt idx="0">
                  <c:v>0.01</c:v>
                </c:pt>
                <c:pt idx="1">
                  <c:v>0.01</c:v>
                </c:pt>
                <c:pt idx="2">
                  <c:v>0.01</c:v>
                </c:pt>
                <c:pt idx="3">
                  <c:v>0.01</c:v>
                </c:pt>
                <c:pt idx="4">
                  <c:v>1.6945435649944562E-2</c:v>
                </c:pt>
                <c:pt idx="5">
                  <c:v>5.5134317474375062E-2</c:v>
                </c:pt>
                <c:pt idx="6">
                  <c:v>9.3173849509383441E-2</c:v>
                </c:pt>
                <c:pt idx="7">
                  <c:v>0.13120929352802035</c:v>
                </c:pt>
                <c:pt idx="8">
                  <c:v>0.16944336484080372</c:v>
                </c:pt>
                <c:pt idx="9">
                  <c:v>0.20762242887528237</c:v>
                </c:pt>
                <c:pt idx="10">
                  <c:v>0.23931909611507818</c:v>
                </c:pt>
                <c:pt idx="11">
                  <c:v>0.25289649170803802</c:v>
                </c:pt>
                <c:pt idx="12">
                  <c:v>0.26631617646360956</c:v>
                </c:pt>
                <c:pt idx="13">
                  <c:v>0.27942459287044491</c:v>
                </c:pt>
                <c:pt idx="14">
                  <c:v>0.28685868687951765</c:v>
                </c:pt>
                <c:pt idx="15">
                  <c:v>0.29480271188951102</c:v>
                </c:pt>
                <c:pt idx="16">
                  <c:v>0.30270105287236077</c:v>
                </c:pt>
                <c:pt idx="17">
                  <c:v>0.31060397239328319</c:v>
                </c:pt>
                <c:pt idx="18">
                  <c:v>0.31851754823222195</c:v>
                </c:pt>
                <c:pt idx="19">
                  <c:v>0.32642925052453059</c:v>
                </c:pt>
                <c:pt idx="20">
                  <c:v>0.33420236627223715</c:v>
                </c:pt>
                <c:pt idx="21">
                  <c:v>0.33848915061056223</c:v>
                </c:pt>
                <c:pt idx="22">
                  <c:v>0.33821016560184969</c:v>
                </c:pt>
                <c:pt idx="23">
                  <c:v>0.33758659607416686</c:v>
                </c:pt>
                <c:pt idx="24">
                  <c:v>0.33695037932384714</c:v>
                </c:pt>
                <c:pt idx="25">
                  <c:v>0.33479019569964813</c:v>
                </c:pt>
                <c:pt idx="26">
                  <c:v>0.32789948874487884</c:v>
                </c:pt>
                <c:pt idx="27">
                  <c:v>0.31784329643572273</c:v>
                </c:pt>
                <c:pt idx="28">
                  <c:v>0.30856832542671947</c:v>
                </c:pt>
                <c:pt idx="29">
                  <c:v>0.29932827844861631</c:v>
                </c:pt>
                <c:pt idx="30">
                  <c:v>0.2908197027685635</c:v>
                </c:pt>
                <c:pt idx="31">
                  <c:v>0.28426583186412896</c:v>
                </c:pt>
                <c:pt idx="32">
                  <c:v>0.27698420050629513</c:v>
                </c:pt>
                <c:pt idx="33">
                  <c:v>0.2703770359503419</c:v>
                </c:pt>
                <c:pt idx="34">
                  <c:v>0.26257113175922114</c:v>
                </c:pt>
                <c:pt idx="35">
                  <c:v>0.24366069556746922</c:v>
                </c:pt>
                <c:pt idx="36">
                  <c:v>0.21225624536999979</c:v>
                </c:pt>
                <c:pt idx="37">
                  <c:v>0.18079860413694593</c:v>
                </c:pt>
                <c:pt idx="38">
                  <c:v>0.14942518938235186</c:v>
                </c:pt>
                <c:pt idx="39">
                  <c:v>0.11813715449183075</c:v>
                </c:pt>
                <c:pt idx="40">
                  <c:v>8.6706927312532669E-2</c:v>
                </c:pt>
                <c:pt idx="41">
                  <c:v>5.5186632897165043E-2</c:v>
                </c:pt>
                <c:pt idx="42">
                  <c:v>2.383267601643773E-2</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3-29BC-43FF-8E32-2FC1CA71BDA2}"/>
            </c:ext>
          </c:extLst>
        </c:ser>
        <c:ser>
          <c:idx val="18"/>
          <c:order val="18"/>
          <c:tx>
            <c:strRef>
              <c:f>実行結果サンプル!$W$77</c:f>
              <c:strCache>
                <c:ptCount val="1"/>
                <c:pt idx="0">
                  <c:v>オイレス工業</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実行結果サンプル!$W$78:$W$128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4-29BC-43FF-8E32-2FC1CA71BDA2}"/>
            </c:ext>
          </c:extLst>
        </c:ser>
        <c:ser>
          <c:idx val="19"/>
          <c:order val="19"/>
          <c:tx>
            <c:strRef>
              <c:f>実行結果サンプル!$X$77</c:f>
              <c:strCache>
                <c:ptCount val="1"/>
                <c:pt idx="0">
                  <c:v>朝日放送グループホールディングス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実行結果サンプル!$X$78:$X$128</c:f>
              <c:numCache>
                <c:formatCode>General</c:formatCode>
                <c:ptCount val="51"/>
                <c:pt idx="0">
                  <c:v>0.79819362506407754</c:v>
                </c:pt>
                <c:pt idx="1">
                  <c:v>0.67128920426223448</c:v>
                </c:pt>
                <c:pt idx="2">
                  <c:v>0.60853240296624767</c:v>
                </c:pt>
                <c:pt idx="3">
                  <c:v>0.54855492381548621</c:v>
                </c:pt>
                <c:pt idx="4">
                  <c:v>0.49198491316557696</c:v>
                </c:pt>
                <c:pt idx="5">
                  <c:v>0.44456000981919469</c:v>
                </c:pt>
                <c:pt idx="6">
                  <c:v>0.39690984361303899</c:v>
                </c:pt>
                <c:pt idx="7">
                  <c:v>0.34932607653575398</c:v>
                </c:pt>
                <c:pt idx="8">
                  <c:v>0.30194767301909786</c:v>
                </c:pt>
                <c:pt idx="9">
                  <c:v>0.25439628754349253</c:v>
                </c:pt>
                <c:pt idx="10">
                  <c:v>0.21484888144245815</c:v>
                </c:pt>
                <c:pt idx="11">
                  <c:v>0.19776700996045551</c:v>
                </c:pt>
                <c:pt idx="12">
                  <c:v>0.18034260365434202</c:v>
                </c:pt>
                <c:pt idx="13">
                  <c:v>0.16225947039768926</c:v>
                </c:pt>
                <c:pt idx="14">
                  <c:v>0.14197201083319438</c:v>
                </c:pt>
                <c:pt idx="15">
                  <c:v>0.1214068636104694</c:v>
                </c:pt>
                <c:pt idx="16">
                  <c:v>0.10094227957942215</c:v>
                </c:pt>
                <c:pt idx="17">
                  <c:v>8.0468779595672654E-2</c:v>
                </c:pt>
                <c:pt idx="18">
                  <c:v>6.0002731788409945E-2</c:v>
                </c:pt>
                <c:pt idx="19">
                  <c:v>3.9534908997804943E-2</c:v>
                </c:pt>
                <c:pt idx="20">
                  <c:v>1.9259149059748258E-2</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5-29BC-43FF-8E32-2FC1CA71BDA2}"/>
            </c:ext>
          </c:extLst>
        </c:ser>
        <c:dLbls>
          <c:showLegendKey val="0"/>
          <c:showVal val="0"/>
          <c:showCatName val="0"/>
          <c:showSerName val="0"/>
          <c:showPercent val="0"/>
          <c:showBubbleSize val="0"/>
        </c:dLbls>
        <c:gapWidth val="0"/>
        <c:overlap val="100"/>
        <c:axId val="1263728623"/>
        <c:axId val="1263726703"/>
      </c:barChart>
      <c:catAx>
        <c:axId val="1263728623"/>
        <c:scaling>
          <c:orientation val="minMax"/>
        </c:scaling>
        <c:delete val="0"/>
        <c:axPos val="l"/>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期待利益率</a:t>
                </a:r>
              </a:p>
            </c:rich>
          </c:tx>
          <c:overlay val="0"/>
        </c:title>
        <c:numFmt formatCode="0.0000" sourceLinked="0"/>
        <c:majorTickMark val="out"/>
        <c:minorTickMark val="none"/>
        <c:tickLblPos val="nextTo"/>
        <c:crossAx val="1263726703"/>
        <c:crosses val="autoZero"/>
        <c:auto val="1"/>
        <c:lblAlgn val="ctr"/>
        <c:lblOffset val="100"/>
        <c:noMultiLvlLbl val="0"/>
      </c:catAx>
      <c:valAx>
        <c:axId val="1263726703"/>
        <c:scaling>
          <c:orientation val="minMax"/>
        </c:scaling>
        <c:delete val="0"/>
        <c:axPos val="b"/>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投資割合</a:t>
                </a:r>
              </a:p>
            </c:rich>
          </c:tx>
          <c:overlay val="0"/>
        </c:title>
        <c:numFmt formatCode="0%" sourceLinked="1"/>
        <c:majorTickMark val="out"/>
        <c:minorTickMark val="none"/>
        <c:tickLblPos val="nextTo"/>
        <c:crossAx val="1263728623"/>
        <c:crosses val="autoZero"/>
        <c:crossBetween val="between"/>
      </c:valAx>
    </c:plotArea>
    <c:legend>
      <c:legendPos val="r"/>
      <c:overlay val="0"/>
      <c:txPr>
        <a:bodyPr/>
        <a:lstStyle/>
        <a:p>
          <a:pPr>
            <a:defRPr sz="800" b="0" i="0">
              <a:latin typeface="Meiryo UI" panose="020B0604030504040204" pitchFamily="50" charset="-128"/>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1466850</xdr:colOff>
          <xdr:row>2</xdr:row>
          <xdr:rowOff>0</xdr:rowOff>
        </xdr:to>
        <xdr:sp macro="" textlink="">
          <xdr:nvSpPr>
            <xdr:cNvPr id="5121" name="cmdユーザーフォーム"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729342</xdr:colOff>
      <xdr:row>129</xdr:row>
      <xdr:rowOff>0</xdr:rowOff>
    </xdr:from>
    <xdr:to>
      <xdr:col>13</xdr:col>
      <xdr:colOff>0</xdr:colOff>
      <xdr:row>156</xdr:row>
      <xdr:rowOff>0</xdr:rowOff>
    </xdr:to>
    <xdr:graphicFrame macro="">
      <xdr:nvGraphicFramePr>
        <xdr:cNvPr id="2" name="グラフ 1">
          <a:extLst>
            <a:ext uri="{FF2B5EF4-FFF2-40B4-BE49-F238E27FC236}">
              <a16:creationId xmlns:a16="http://schemas.microsoft.com/office/drawing/2014/main" id="{819922AA-2639-7A2E-D06B-E6C711435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129</xdr:row>
      <xdr:rowOff>0</xdr:rowOff>
    </xdr:from>
    <xdr:to>
      <xdr:col>24</xdr:col>
      <xdr:colOff>304799</xdr:colOff>
      <xdr:row>156</xdr:row>
      <xdr:rowOff>0</xdr:rowOff>
    </xdr:to>
    <xdr:graphicFrame macro="">
      <xdr:nvGraphicFramePr>
        <xdr:cNvPr id="3" name="グラフ 2">
          <a:extLst>
            <a:ext uri="{FF2B5EF4-FFF2-40B4-BE49-F238E27FC236}">
              <a16:creationId xmlns:a16="http://schemas.microsoft.com/office/drawing/2014/main" id="{F0A6887B-F3CC-9A9A-AEF2-7E0FD69B5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E7C4-C527-4C4E-AB6C-CC8CC0A79F3D}">
  <sheetPr codeName="Sheet3"/>
  <dimension ref="A2:C34"/>
  <sheetViews>
    <sheetView tabSelected="1" workbookViewId="0"/>
  </sheetViews>
  <sheetFormatPr defaultRowHeight="14.25"/>
  <sheetData>
    <row r="2" spans="1:3">
      <c r="A2" t="s">
        <v>83</v>
      </c>
    </row>
    <row r="3" spans="1:3">
      <c r="B3" t="s">
        <v>96</v>
      </c>
    </row>
    <row r="4" spans="1:3">
      <c r="C4" t="s">
        <v>91</v>
      </c>
    </row>
    <row r="5" spans="1:3">
      <c r="C5" t="s">
        <v>92</v>
      </c>
    </row>
    <row r="6" spans="1:3">
      <c r="C6" t="s">
        <v>94</v>
      </c>
    </row>
    <row r="7" spans="1:3">
      <c r="C7" t="s">
        <v>93</v>
      </c>
    </row>
    <row r="8" spans="1:3">
      <c r="C8" t="s">
        <v>95</v>
      </c>
    </row>
    <row r="9" spans="1:3">
      <c r="B9" t="s">
        <v>97</v>
      </c>
    </row>
    <row r="10" spans="1:3">
      <c r="C10" t="s">
        <v>98</v>
      </c>
    </row>
    <row r="11" spans="1:3">
      <c r="C11" t="s">
        <v>99</v>
      </c>
    </row>
    <row r="12" spans="1:3">
      <c r="C12" t="s">
        <v>101</v>
      </c>
    </row>
    <row r="13" spans="1:3">
      <c r="C13" t="s">
        <v>100</v>
      </c>
    </row>
    <row r="14" spans="1:3">
      <c r="C14" t="s">
        <v>102</v>
      </c>
    </row>
    <row r="16" spans="1:3">
      <c r="A16" t="s">
        <v>118</v>
      </c>
    </row>
    <row r="17" spans="2:3">
      <c r="B17" s="2">
        <v>1</v>
      </c>
      <c r="C17" t="s">
        <v>119</v>
      </c>
    </row>
    <row r="18" spans="2:3">
      <c r="B18" s="2">
        <v>2</v>
      </c>
      <c r="C18" t="s">
        <v>104</v>
      </c>
    </row>
    <row r="19" spans="2:3">
      <c r="B19" s="2">
        <v>3</v>
      </c>
      <c r="C19" t="s">
        <v>120</v>
      </c>
    </row>
    <row r="20" spans="2:3">
      <c r="B20" s="2">
        <v>4</v>
      </c>
      <c r="C20" t="s">
        <v>103</v>
      </c>
    </row>
    <row r="21" spans="2:3">
      <c r="B21" s="2">
        <v>5</v>
      </c>
      <c r="C21" t="s">
        <v>121</v>
      </c>
    </row>
    <row r="22" spans="2:3">
      <c r="B22" s="2">
        <v>6</v>
      </c>
      <c r="C22" t="s">
        <v>105</v>
      </c>
    </row>
    <row r="23" spans="2:3">
      <c r="B23" s="2">
        <v>7</v>
      </c>
      <c r="C23" s="1" t="s">
        <v>106</v>
      </c>
    </row>
    <row r="24" spans="2:3">
      <c r="B24" s="2">
        <v>8</v>
      </c>
      <c r="C24" s="1" t="s">
        <v>107</v>
      </c>
    </row>
    <row r="25" spans="2:3">
      <c r="B25" s="2">
        <v>9</v>
      </c>
      <c r="C25" s="1" t="s">
        <v>108</v>
      </c>
    </row>
    <row r="26" spans="2:3">
      <c r="B26" s="2">
        <v>10</v>
      </c>
      <c r="C26" s="1" t="s">
        <v>109</v>
      </c>
    </row>
    <row r="27" spans="2:3">
      <c r="B27" s="2">
        <v>11</v>
      </c>
      <c r="C27" s="1" t="s">
        <v>110</v>
      </c>
    </row>
    <row r="28" spans="2:3">
      <c r="B28" s="2">
        <v>12</v>
      </c>
      <c r="C28" s="1" t="s">
        <v>111</v>
      </c>
    </row>
    <row r="29" spans="2:3">
      <c r="B29" s="2">
        <v>13</v>
      </c>
      <c r="C29" t="s">
        <v>112</v>
      </c>
    </row>
    <row r="30" spans="2:3">
      <c r="B30" s="2">
        <v>14</v>
      </c>
      <c r="C30" t="s">
        <v>113</v>
      </c>
    </row>
    <row r="31" spans="2:3">
      <c r="B31" s="2">
        <v>15</v>
      </c>
      <c r="C31" t="s">
        <v>114</v>
      </c>
    </row>
    <row r="32" spans="2:3">
      <c r="B32" s="2">
        <v>16</v>
      </c>
      <c r="C32" t="s">
        <v>115</v>
      </c>
    </row>
    <row r="33" spans="2:3">
      <c r="B33" s="2">
        <v>17</v>
      </c>
      <c r="C33" t="s">
        <v>116</v>
      </c>
    </row>
    <row r="34" spans="2:3">
      <c r="B34" s="2">
        <v>18</v>
      </c>
      <c r="C34" t="s">
        <v>117</v>
      </c>
    </row>
  </sheetData>
  <phoneticPr fontId="1"/>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33C3B-B729-44A5-A9FF-4442F43AD4A0}">
  <sheetPr codeName="Sheet1"/>
  <dimension ref="A3:BK23"/>
  <sheetViews>
    <sheetView zoomScaleNormal="100" workbookViewId="0"/>
  </sheetViews>
  <sheetFormatPr defaultRowHeight="14.25"/>
  <cols>
    <col min="1" max="1" width="22.875" bestFit="1" customWidth="1"/>
    <col min="2" max="2" width="7.875" bestFit="1" customWidth="1"/>
    <col min="3" max="63" width="8" bestFit="1" customWidth="1"/>
  </cols>
  <sheetData>
    <row r="3" spans="1:63">
      <c r="A3" t="s">
        <v>82</v>
      </c>
      <c r="B3" t="s">
        <v>81</v>
      </c>
      <c r="C3" t="s">
        <v>20</v>
      </c>
      <c r="D3" t="s">
        <v>21</v>
      </c>
      <c r="E3" t="s">
        <v>22</v>
      </c>
      <c r="F3" t="s">
        <v>23</v>
      </c>
      <c r="G3" t="s">
        <v>24</v>
      </c>
      <c r="H3" t="s">
        <v>25</v>
      </c>
      <c r="I3" t="s">
        <v>26</v>
      </c>
      <c r="J3" t="s">
        <v>27</v>
      </c>
      <c r="K3" t="s">
        <v>28</v>
      </c>
      <c r="L3" t="s">
        <v>29</v>
      </c>
      <c r="M3" t="s">
        <v>30</v>
      </c>
      <c r="N3" t="s">
        <v>31</v>
      </c>
      <c r="O3" t="s">
        <v>32</v>
      </c>
      <c r="P3" t="s">
        <v>33</v>
      </c>
      <c r="Q3" t="s">
        <v>34</v>
      </c>
      <c r="R3" t="s">
        <v>35</v>
      </c>
      <c r="S3" t="s">
        <v>36</v>
      </c>
      <c r="T3" t="s">
        <v>37</v>
      </c>
      <c r="U3" t="s">
        <v>38</v>
      </c>
      <c r="V3" t="s">
        <v>39</v>
      </c>
      <c r="W3" t="s">
        <v>40</v>
      </c>
      <c r="X3" t="s">
        <v>41</v>
      </c>
      <c r="Y3" t="s">
        <v>42</v>
      </c>
      <c r="Z3" t="s">
        <v>43</v>
      </c>
      <c r="AA3" t="s">
        <v>44</v>
      </c>
      <c r="AB3" t="s">
        <v>45</v>
      </c>
      <c r="AC3" t="s">
        <v>46</v>
      </c>
      <c r="AD3" t="s">
        <v>47</v>
      </c>
      <c r="AE3" t="s">
        <v>48</v>
      </c>
      <c r="AF3" t="s">
        <v>49</v>
      </c>
      <c r="AG3" t="s">
        <v>50</v>
      </c>
      <c r="AH3" t="s">
        <v>51</v>
      </c>
      <c r="AI3" t="s">
        <v>52</v>
      </c>
      <c r="AJ3" t="s">
        <v>53</v>
      </c>
      <c r="AK3" t="s">
        <v>54</v>
      </c>
      <c r="AL3" t="s">
        <v>55</v>
      </c>
      <c r="AM3" t="s">
        <v>56</v>
      </c>
      <c r="AN3" t="s">
        <v>57</v>
      </c>
      <c r="AO3" t="s">
        <v>58</v>
      </c>
      <c r="AP3" t="s">
        <v>59</v>
      </c>
      <c r="AQ3" t="s">
        <v>60</v>
      </c>
      <c r="AR3" t="s">
        <v>61</v>
      </c>
      <c r="AS3" t="s">
        <v>62</v>
      </c>
      <c r="AT3" t="s">
        <v>63</v>
      </c>
      <c r="AU3" t="s">
        <v>64</v>
      </c>
      <c r="AV3" t="s">
        <v>65</v>
      </c>
      <c r="AW3" t="s">
        <v>66</v>
      </c>
      <c r="AX3" t="s">
        <v>67</v>
      </c>
      <c r="AY3" t="s">
        <v>68</v>
      </c>
      <c r="AZ3" t="s">
        <v>69</v>
      </c>
      <c r="BA3" t="s">
        <v>70</v>
      </c>
      <c r="BB3" t="s">
        <v>71</v>
      </c>
      <c r="BC3" t="s">
        <v>72</v>
      </c>
      <c r="BD3" t="s">
        <v>73</v>
      </c>
      <c r="BE3" t="s">
        <v>74</v>
      </c>
      <c r="BF3" t="s">
        <v>75</v>
      </c>
      <c r="BG3" t="s">
        <v>76</v>
      </c>
      <c r="BH3" t="s">
        <v>77</v>
      </c>
      <c r="BI3" t="s">
        <v>78</v>
      </c>
      <c r="BJ3" t="s">
        <v>79</v>
      </c>
      <c r="BK3" t="s">
        <v>80</v>
      </c>
    </row>
    <row r="4" spans="1:63">
      <c r="A4" t="s">
        <v>9</v>
      </c>
      <c r="B4">
        <v>4825</v>
      </c>
      <c r="C4">
        <v>3425</v>
      </c>
      <c r="D4">
        <v>3510</v>
      </c>
      <c r="E4">
        <v>3845</v>
      </c>
      <c r="F4">
        <v>3420</v>
      </c>
      <c r="G4">
        <v>3535</v>
      </c>
      <c r="H4">
        <v>3705</v>
      </c>
      <c r="I4">
        <v>3775</v>
      </c>
      <c r="J4">
        <v>3520</v>
      </c>
      <c r="K4">
        <v>3855</v>
      </c>
      <c r="L4">
        <v>4800</v>
      </c>
      <c r="M4">
        <v>5970</v>
      </c>
      <c r="N4">
        <v>5520</v>
      </c>
      <c r="O4">
        <v>5600</v>
      </c>
      <c r="P4">
        <v>5560</v>
      </c>
      <c r="Q4">
        <v>4825</v>
      </c>
      <c r="R4">
        <v>4945</v>
      </c>
      <c r="S4">
        <v>5270</v>
      </c>
      <c r="T4">
        <v>5330</v>
      </c>
      <c r="U4">
        <v>5320</v>
      </c>
      <c r="V4">
        <v>5810</v>
      </c>
      <c r="W4">
        <v>5420</v>
      </c>
      <c r="X4">
        <v>5780</v>
      </c>
      <c r="Y4">
        <v>6590</v>
      </c>
      <c r="Z4">
        <v>8310</v>
      </c>
      <c r="AA4">
        <v>9620</v>
      </c>
      <c r="AB4">
        <v>9620</v>
      </c>
      <c r="AC4">
        <v>7740</v>
      </c>
      <c r="AD4">
        <v>7900</v>
      </c>
      <c r="AE4">
        <v>9060</v>
      </c>
      <c r="AF4">
        <v>6840</v>
      </c>
      <c r="AG4">
        <v>6710</v>
      </c>
      <c r="AH4">
        <v>6630</v>
      </c>
      <c r="AI4">
        <v>7740</v>
      </c>
      <c r="AJ4">
        <v>8070</v>
      </c>
      <c r="AK4">
        <v>7460</v>
      </c>
      <c r="AL4">
        <v>7760</v>
      </c>
      <c r="AM4">
        <v>7610</v>
      </c>
      <c r="AN4">
        <v>7150</v>
      </c>
      <c r="AO4">
        <v>7040</v>
      </c>
      <c r="AP4">
        <v>6700</v>
      </c>
      <c r="AQ4">
        <v>6620</v>
      </c>
      <c r="AR4">
        <v>6800</v>
      </c>
      <c r="AS4">
        <v>6680</v>
      </c>
      <c r="AT4">
        <v>6640</v>
      </c>
      <c r="AU4">
        <v>6360</v>
      </c>
      <c r="AV4">
        <v>6380</v>
      </c>
      <c r="AW4">
        <v>6320</v>
      </c>
      <c r="AX4">
        <v>5890</v>
      </c>
      <c r="AY4">
        <v>5870</v>
      </c>
      <c r="AZ4">
        <v>5410</v>
      </c>
      <c r="BA4">
        <v>5360</v>
      </c>
      <c r="BB4">
        <v>5060</v>
      </c>
      <c r="BC4">
        <v>5120</v>
      </c>
      <c r="BD4">
        <v>4635</v>
      </c>
      <c r="BE4">
        <v>4460</v>
      </c>
      <c r="BF4">
        <v>4690</v>
      </c>
      <c r="BG4">
        <v>5740</v>
      </c>
      <c r="BH4">
        <v>5740</v>
      </c>
      <c r="BI4">
        <v>5790</v>
      </c>
      <c r="BJ4">
        <v>6050</v>
      </c>
      <c r="BK4">
        <v>5900</v>
      </c>
    </row>
    <row r="5" spans="1:63">
      <c r="A5" t="s">
        <v>15</v>
      </c>
      <c r="B5">
        <v>9735</v>
      </c>
      <c r="C5">
        <v>4653.5</v>
      </c>
      <c r="D5">
        <v>4888.5</v>
      </c>
      <c r="E5">
        <v>4856.5</v>
      </c>
      <c r="F5">
        <v>4287.5</v>
      </c>
      <c r="G5">
        <v>4487</v>
      </c>
      <c r="H5">
        <v>4502.5</v>
      </c>
      <c r="I5">
        <v>4667</v>
      </c>
      <c r="J5">
        <v>4711.5</v>
      </c>
      <c r="K5">
        <v>4540.5</v>
      </c>
      <c r="L5">
        <v>5012.5</v>
      </c>
      <c r="M5">
        <v>4803</v>
      </c>
      <c r="N5">
        <v>4397.5</v>
      </c>
      <c r="O5">
        <v>5197.5</v>
      </c>
      <c r="P5">
        <v>4758.5</v>
      </c>
      <c r="Q5">
        <v>4738.5</v>
      </c>
      <c r="R5">
        <v>4613</v>
      </c>
      <c r="S5">
        <v>4656.5</v>
      </c>
      <c r="T5">
        <v>4538</v>
      </c>
      <c r="U5">
        <v>4285</v>
      </c>
      <c r="V5">
        <v>4222</v>
      </c>
      <c r="W5">
        <v>4127</v>
      </c>
      <c r="X5">
        <v>4172.5</v>
      </c>
      <c r="Y5">
        <v>4051.5</v>
      </c>
      <c r="Z5">
        <v>3869.5</v>
      </c>
      <c r="AA5">
        <v>3832</v>
      </c>
      <c r="AB5">
        <v>3993</v>
      </c>
      <c r="AC5">
        <v>4042</v>
      </c>
      <c r="AD5">
        <v>4211</v>
      </c>
      <c r="AE5">
        <v>4434</v>
      </c>
      <c r="AF5">
        <v>4587</v>
      </c>
      <c r="AG5">
        <v>4248.5</v>
      </c>
      <c r="AH5">
        <v>4191.5</v>
      </c>
      <c r="AI5">
        <v>4445</v>
      </c>
      <c r="AJ5">
        <v>4461</v>
      </c>
      <c r="AK5">
        <v>4138</v>
      </c>
      <c r="AL5">
        <v>4245.5</v>
      </c>
      <c r="AM5">
        <v>4242.5</v>
      </c>
      <c r="AN5">
        <v>3771.5</v>
      </c>
      <c r="AO5">
        <v>3860.5</v>
      </c>
      <c r="AP5">
        <v>3961.5</v>
      </c>
      <c r="AQ5">
        <v>4082</v>
      </c>
      <c r="AR5">
        <v>4349</v>
      </c>
      <c r="AS5">
        <v>4568</v>
      </c>
      <c r="AT5">
        <v>4869.5</v>
      </c>
      <c r="AU5">
        <v>4766.5</v>
      </c>
      <c r="AV5">
        <v>5097.5</v>
      </c>
      <c r="AW5">
        <v>5070</v>
      </c>
      <c r="AX5">
        <v>5225</v>
      </c>
      <c r="AY5">
        <v>5147.5</v>
      </c>
      <c r="AZ5">
        <v>5077.5</v>
      </c>
      <c r="BA5">
        <v>5360</v>
      </c>
      <c r="BB5">
        <v>5460</v>
      </c>
      <c r="BC5">
        <v>5480</v>
      </c>
      <c r="BD5">
        <v>5490</v>
      </c>
      <c r="BE5">
        <v>4886</v>
      </c>
      <c r="BF5">
        <v>4748.5</v>
      </c>
      <c r="BG5">
        <v>4811</v>
      </c>
      <c r="BH5">
        <v>5310</v>
      </c>
      <c r="BI5">
        <v>5294</v>
      </c>
      <c r="BJ5">
        <v>5461</v>
      </c>
      <c r="BK5">
        <v>5145</v>
      </c>
    </row>
    <row r="6" spans="1:63">
      <c r="A6" t="s">
        <v>4</v>
      </c>
      <c r="B6">
        <v>2331</v>
      </c>
      <c r="C6">
        <v>1138</v>
      </c>
      <c r="D6">
        <v>1184</v>
      </c>
      <c r="E6">
        <v>1142</v>
      </c>
      <c r="F6">
        <v>1010</v>
      </c>
      <c r="G6">
        <v>1052</v>
      </c>
      <c r="H6">
        <v>1034</v>
      </c>
      <c r="I6">
        <v>1060</v>
      </c>
      <c r="J6">
        <v>1004</v>
      </c>
      <c r="K6">
        <v>993</v>
      </c>
      <c r="L6">
        <v>991</v>
      </c>
      <c r="M6">
        <v>1000</v>
      </c>
      <c r="N6">
        <v>971</v>
      </c>
      <c r="O6">
        <v>1118</v>
      </c>
      <c r="P6">
        <v>1070</v>
      </c>
      <c r="Q6">
        <v>1030</v>
      </c>
      <c r="R6">
        <v>960</v>
      </c>
      <c r="S6">
        <v>1046</v>
      </c>
      <c r="T6">
        <v>958</v>
      </c>
      <c r="U6">
        <v>1002</v>
      </c>
      <c r="V6">
        <v>1012</v>
      </c>
      <c r="W6">
        <v>1022</v>
      </c>
      <c r="X6">
        <v>997</v>
      </c>
      <c r="Y6">
        <v>1010</v>
      </c>
      <c r="Z6">
        <v>972</v>
      </c>
      <c r="AA6">
        <v>968</v>
      </c>
      <c r="AB6">
        <v>914</v>
      </c>
      <c r="AC6">
        <v>831</v>
      </c>
      <c r="AD6">
        <v>828</v>
      </c>
      <c r="AE6">
        <v>800</v>
      </c>
      <c r="AF6">
        <v>724</v>
      </c>
      <c r="AG6">
        <v>713</v>
      </c>
      <c r="AH6">
        <v>754</v>
      </c>
      <c r="AI6">
        <v>744</v>
      </c>
      <c r="AJ6">
        <v>723</v>
      </c>
      <c r="AK6">
        <v>728</v>
      </c>
      <c r="AL6">
        <v>742</v>
      </c>
      <c r="AM6">
        <v>745</v>
      </c>
      <c r="AN6">
        <v>719</v>
      </c>
      <c r="AO6">
        <v>714</v>
      </c>
      <c r="AP6">
        <v>715</v>
      </c>
      <c r="AQ6">
        <v>713</v>
      </c>
      <c r="AR6">
        <v>759</v>
      </c>
      <c r="AS6">
        <v>786</v>
      </c>
      <c r="AT6">
        <v>814.2</v>
      </c>
      <c r="AU6">
        <v>868.6</v>
      </c>
      <c r="AV6">
        <v>928.7</v>
      </c>
      <c r="AW6">
        <v>902.2</v>
      </c>
      <c r="AX6">
        <v>881.6</v>
      </c>
      <c r="AY6">
        <v>856.8</v>
      </c>
      <c r="AZ6">
        <v>811.2</v>
      </c>
      <c r="BA6">
        <v>806.7</v>
      </c>
      <c r="BB6">
        <v>830.3</v>
      </c>
      <c r="BC6">
        <v>831.9</v>
      </c>
      <c r="BD6">
        <v>877.6</v>
      </c>
      <c r="BE6">
        <v>946.4</v>
      </c>
      <c r="BF6">
        <v>939.6</v>
      </c>
      <c r="BG6">
        <v>968.8</v>
      </c>
      <c r="BH6">
        <v>1032.5</v>
      </c>
      <c r="BI6">
        <v>1035</v>
      </c>
      <c r="BJ6">
        <v>1064</v>
      </c>
      <c r="BK6">
        <v>1099.5</v>
      </c>
    </row>
    <row r="7" spans="1:63">
      <c r="A7" t="s">
        <v>5</v>
      </c>
      <c r="B7">
        <v>2802</v>
      </c>
      <c r="C7">
        <v>1824</v>
      </c>
      <c r="D7">
        <v>1815</v>
      </c>
      <c r="E7">
        <v>1805</v>
      </c>
      <c r="F7">
        <v>1812</v>
      </c>
      <c r="G7">
        <v>2010.5</v>
      </c>
      <c r="H7">
        <v>1916</v>
      </c>
      <c r="I7">
        <v>1837</v>
      </c>
      <c r="J7">
        <v>1792</v>
      </c>
      <c r="K7">
        <v>1904</v>
      </c>
      <c r="L7">
        <v>1976</v>
      </c>
      <c r="M7">
        <v>2159</v>
      </c>
      <c r="N7">
        <v>2097.5</v>
      </c>
      <c r="O7">
        <v>2180.5</v>
      </c>
      <c r="P7">
        <v>2337.5</v>
      </c>
      <c r="Q7">
        <v>2473</v>
      </c>
      <c r="R7">
        <v>2119</v>
      </c>
      <c r="S7">
        <v>2265.5</v>
      </c>
      <c r="T7">
        <v>2186.5</v>
      </c>
      <c r="U7">
        <v>2516</v>
      </c>
      <c r="V7">
        <v>2884</v>
      </c>
      <c r="W7">
        <v>2786</v>
      </c>
      <c r="X7">
        <v>3244</v>
      </c>
      <c r="Y7">
        <v>3306</v>
      </c>
      <c r="Z7">
        <v>3406</v>
      </c>
      <c r="AA7">
        <v>3407</v>
      </c>
      <c r="AB7">
        <v>3497</v>
      </c>
      <c r="AC7">
        <v>3193</v>
      </c>
      <c r="AD7">
        <v>3339</v>
      </c>
      <c r="AE7">
        <v>3475</v>
      </c>
      <c r="AF7">
        <v>3385</v>
      </c>
      <c r="AG7">
        <v>3134</v>
      </c>
      <c r="AH7">
        <v>3300</v>
      </c>
      <c r="AI7">
        <v>3498</v>
      </c>
      <c r="AJ7">
        <v>3861</v>
      </c>
      <c r="AK7">
        <v>3962</v>
      </c>
      <c r="AL7">
        <v>4096</v>
      </c>
      <c r="AM7">
        <v>4335</v>
      </c>
      <c r="AN7">
        <v>4031</v>
      </c>
      <c r="AO7">
        <v>4273</v>
      </c>
      <c r="AP7">
        <v>4018</v>
      </c>
      <c r="AQ7">
        <v>4606</v>
      </c>
      <c r="AR7">
        <v>4885</v>
      </c>
      <c r="AS7">
        <v>5421</v>
      </c>
      <c r="AT7">
        <v>5724</v>
      </c>
      <c r="AU7">
        <v>5537</v>
      </c>
      <c r="AV7">
        <v>6173</v>
      </c>
      <c r="AW7">
        <v>5764</v>
      </c>
      <c r="AX7">
        <v>5480</v>
      </c>
      <c r="AY7">
        <v>5526</v>
      </c>
      <c r="AZ7">
        <v>5440</v>
      </c>
      <c r="BA7">
        <v>6087</v>
      </c>
      <c r="BB7">
        <v>5503</v>
      </c>
      <c r="BC7">
        <v>5660</v>
      </c>
      <c r="BD7">
        <v>5875</v>
      </c>
      <c r="BE7">
        <v>5605</v>
      </c>
      <c r="BF7">
        <v>5641</v>
      </c>
      <c r="BG7">
        <v>6231</v>
      </c>
      <c r="BH7">
        <v>5597</v>
      </c>
      <c r="BI7">
        <v>5546</v>
      </c>
      <c r="BJ7">
        <v>5904</v>
      </c>
      <c r="BK7">
        <v>6255</v>
      </c>
    </row>
    <row r="8" spans="1:63">
      <c r="A8" t="s">
        <v>12</v>
      </c>
      <c r="B8">
        <v>8934</v>
      </c>
      <c r="C8">
        <v>1278</v>
      </c>
      <c r="D8">
        <v>1309</v>
      </c>
      <c r="E8">
        <v>1232</v>
      </c>
      <c r="F8">
        <v>1067</v>
      </c>
      <c r="G8">
        <v>820</v>
      </c>
      <c r="H8">
        <v>872</v>
      </c>
      <c r="I8">
        <v>942</v>
      </c>
      <c r="J8">
        <v>854</v>
      </c>
      <c r="K8">
        <v>814</v>
      </c>
      <c r="L8">
        <v>816</v>
      </c>
      <c r="M8">
        <v>879</v>
      </c>
      <c r="N8">
        <v>837</v>
      </c>
      <c r="O8">
        <v>921</v>
      </c>
      <c r="P8">
        <v>892</v>
      </c>
      <c r="Q8">
        <v>879</v>
      </c>
      <c r="R8">
        <v>952</v>
      </c>
      <c r="S8">
        <v>967</v>
      </c>
      <c r="T8">
        <v>953</v>
      </c>
      <c r="U8">
        <v>922</v>
      </c>
      <c r="V8">
        <v>1046</v>
      </c>
      <c r="W8">
        <v>1030</v>
      </c>
      <c r="X8">
        <v>1144</v>
      </c>
      <c r="Y8">
        <v>1120</v>
      </c>
      <c r="Z8">
        <v>1064</v>
      </c>
      <c r="AA8">
        <v>958</v>
      </c>
      <c r="AB8">
        <v>1003</v>
      </c>
      <c r="AC8">
        <v>1035</v>
      </c>
      <c r="AD8">
        <v>1074</v>
      </c>
      <c r="AE8">
        <v>1050</v>
      </c>
      <c r="AF8">
        <v>1086</v>
      </c>
      <c r="AG8">
        <v>1053</v>
      </c>
      <c r="AH8">
        <v>1118</v>
      </c>
      <c r="AI8">
        <v>1113</v>
      </c>
      <c r="AJ8">
        <v>1203</v>
      </c>
      <c r="AK8">
        <v>1120</v>
      </c>
      <c r="AL8">
        <v>1149</v>
      </c>
      <c r="AM8">
        <v>1172</v>
      </c>
      <c r="AN8">
        <v>1101</v>
      </c>
      <c r="AO8">
        <v>1117</v>
      </c>
      <c r="AP8">
        <v>1236</v>
      </c>
      <c r="AQ8">
        <v>1281</v>
      </c>
      <c r="AR8">
        <v>1316</v>
      </c>
      <c r="AS8">
        <v>1318</v>
      </c>
      <c r="AT8">
        <v>1427</v>
      </c>
      <c r="AU8">
        <v>1508</v>
      </c>
      <c r="AV8">
        <v>1444</v>
      </c>
      <c r="AW8">
        <v>1506</v>
      </c>
      <c r="AX8">
        <v>1456</v>
      </c>
      <c r="AY8">
        <v>1560</v>
      </c>
      <c r="AZ8">
        <v>1633</v>
      </c>
      <c r="BA8">
        <v>1774</v>
      </c>
      <c r="BB8">
        <v>1660</v>
      </c>
      <c r="BC8">
        <v>1961</v>
      </c>
      <c r="BD8">
        <v>1965</v>
      </c>
      <c r="BE8">
        <v>1950</v>
      </c>
      <c r="BF8">
        <v>2014</v>
      </c>
      <c r="BG8">
        <v>2058</v>
      </c>
      <c r="BH8">
        <v>1837</v>
      </c>
      <c r="BI8">
        <v>1758</v>
      </c>
      <c r="BJ8">
        <v>1833</v>
      </c>
      <c r="BK8">
        <v>1880</v>
      </c>
    </row>
    <row r="9" spans="1:63">
      <c r="A9" t="s">
        <v>16</v>
      </c>
      <c r="B9">
        <v>9755</v>
      </c>
      <c r="C9">
        <v>1396</v>
      </c>
      <c r="D9">
        <v>1529</v>
      </c>
      <c r="E9">
        <v>1398</v>
      </c>
      <c r="F9">
        <v>1244</v>
      </c>
      <c r="G9">
        <v>1229</v>
      </c>
      <c r="H9">
        <v>1274</v>
      </c>
      <c r="I9">
        <v>1343</v>
      </c>
      <c r="J9">
        <v>1408</v>
      </c>
      <c r="K9">
        <v>1353</v>
      </c>
      <c r="L9">
        <v>1217</v>
      </c>
      <c r="M9">
        <v>1244</v>
      </c>
      <c r="N9">
        <v>1196</v>
      </c>
      <c r="O9">
        <v>1215</v>
      </c>
      <c r="P9">
        <v>1225</v>
      </c>
      <c r="Q9">
        <v>1265</v>
      </c>
      <c r="R9">
        <v>1245</v>
      </c>
      <c r="S9">
        <v>1292</v>
      </c>
      <c r="T9">
        <v>1307</v>
      </c>
      <c r="U9">
        <v>1265</v>
      </c>
      <c r="V9">
        <v>1249</v>
      </c>
      <c r="W9">
        <v>1289</v>
      </c>
      <c r="X9">
        <v>1341</v>
      </c>
      <c r="Y9">
        <v>1469</v>
      </c>
      <c r="Z9">
        <v>1743</v>
      </c>
      <c r="AA9">
        <v>1963</v>
      </c>
      <c r="AB9">
        <v>2150</v>
      </c>
      <c r="AC9">
        <v>2105</v>
      </c>
      <c r="AD9">
        <v>2085</v>
      </c>
      <c r="AE9">
        <v>2306</v>
      </c>
      <c r="AF9">
        <v>1981</v>
      </c>
      <c r="AG9">
        <v>1732</v>
      </c>
      <c r="AH9">
        <v>1658</v>
      </c>
      <c r="AI9">
        <v>1769</v>
      </c>
      <c r="AJ9">
        <v>1856</v>
      </c>
      <c r="AK9">
        <v>1868</v>
      </c>
      <c r="AL9">
        <v>2261</v>
      </c>
      <c r="AM9">
        <v>2096</v>
      </c>
      <c r="AN9">
        <v>2282</v>
      </c>
      <c r="AO9">
        <v>2020</v>
      </c>
      <c r="AP9">
        <v>2074</v>
      </c>
      <c r="AQ9">
        <v>2224</v>
      </c>
      <c r="AR9">
        <v>2041</v>
      </c>
      <c r="AS9">
        <v>1869</v>
      </c>
      <c r="AT9">
        <v>2006</v>
      </c>
      <c r="AU9">
        <v>2630</v>
      </c>
      <c r="AV9">
        <v>2724</v>
      </c>
      <c r="AW9">
        <v>2493</v>
      </c>
      <c r="AX9">
        <v>2288</v>
      </c>
      <c r="AY9">
        <v>2091</v>
      </c>
      <c r="AZ9">
        <v>2052</v>
      </c>
      <c r="BA9">
        <v>2185</v>
      </c>
      <c r="BB9">
        <v>2246</v>
      </c>
      <c r="BC9">
        <v>2217</v>
      </c>
      <c r="BD9">
        <v>2459</v>
      </c>
      <c r="BE9">
        <v>2700</v>
      </c>
      <c r="BF9">
        <v>2820</v>
      </c>
      <c r="BG9">
        <v>2504</v>
      </c>
      <c r="BH9">
        <v>2630</v>
      </c>
      <c r="BI9">
        <v>2722</v>
      </c>
      <c r="BJ9">
        <v>2557</v>
      </c>
      <c r="BK9">
        <v>2464</v>
      </c>
    </row>
    <row r="10" spans="1:63">
      <c r="A10" t="s">
        <v>13</v>
      </c>
      <c r="B10">
        <v>9621</v>
      </c>
      <c r="C10">
        <v>1996</v>
      </c>
      <c r="D10">
        <v>2260</v>
      </c>
      <c r="E10">
        <v>2435</v>
      </c>
      <c r="F10">
        <v>1794</v>
      </c>
      <c r="G10">
        <v>1675</v>
      </c>
      <c r="H10">
        <v>1757</v>
      </c>
      <c r="I10">
        <v>1758</v>
      </c>
      <c r="J10">
        <v>1706</v>
      </c>
      <c r="K10">
        <v>1660</v>
      </c>
      <c r="L10">
        <v>1845</v>
      </c>
      <c r="M10">
        <v>2017</v>
      </c>
      <c r="N10">
        <v>1903</v>
      </c>
      <c r="O10">
        <v>2115</v>
      </c>
      <c r="P10">
        <v>2381</v>
      </c>
      <c r="Q10">
        <v>2437</v>
      </c>
      <c r="R10">
        <v>2321</v>
      </c>
      <c r="S10">
        <v>2520</v>
      </c>
      <c r="T10">
        <v>2470</v>
      </c>
      <c r="U10">
        <v>2498</v>
      </c>
      <c r="V10">
        <v>2270</v>
      </c>
      <c r="W10">
        <v>2330</v>
      </c>
      <c r="X10">
        <v>2466</v>
      </c>
      <c r="Y10">
        <v>2625</v>
      </c>
      <c r="Z10">
        <v>2731</v>
      </c>
      <c r="AA10">
        <v>2364</v>
      </c>
      <c r="AB10">
        <v>2498</v>
      </c>
      <c r="AC10">
        <v>2388</v>
      </c>
      <c r="AD10">
        <v>2271</v>
      </c>
      <c r="AE10">
        <v>2277</v>
      </c>
      <c r="AF10">
        <v>2284</v>
      </c>
      <c r="AG10">
        <v>2472</v>
      </c>
      <c r="AH10">
        <v>2593</v>
      </c>
      <c r="AI10">
        <v>2718</v>
      </c>
      <c r="AJ10">
        <v>2613</v>
      </c>
      <c r="AK10">
        <v>2836</v>
      </c>
      <c r="AL10">
        <v>2923</v>
      </c>
      <c r="AM10">
        <v>3255</v>
      </c>
      <c r="AN10">
        <v>3210</v>
      </c>
      <c r="AO10">
        <v>3305</v>
      </c>
      <c r="AP10">
        <v>3480</v>
      </c>
      <c r="AQ10">
        <v>3020</v>
      </c>
      <c r="AR10">
        <v>3300</v>
      </c>
      <c r="AS10">
        <v>3340</v>
      </c>
      <c r="AT10">
        <v>3670</v>
      </c>
      <c r="AU10">
        <v>3530</v>
      </c>
      <c r="AV10">
        <v>4410</v>
      </c>
      <c r="AW10">
        <v>4495</v>
      </c>
      <c r="AX10">
        <v>4510</v>
      </c>
      <c r="AY10">
        <v>4855</v>
      </c>
      <c r="AZ10">
        <v>5260</v>
      </c>
      <c r="BA10">
        <v>5900</v>
      </c>
      <c r="BB10">
        <v>5810</v>
      </c>
      <c r="BC10">
        <v>5080</v>
      </c>
      <c r="BD10">
        <v>4810</v>
      </c>
      <c r="BE10">
        <v>4995</v>
      </c>
      <c r="BF10">
        <v>5120</v>
      </c>
      <c r="BG10">
        <v>5050</v>
      </c>
      <c r="BH10">
        <v>4695</v>
      </c>
      <c r="BI10">
        <v>4520</v>
      </c>
      <c r="BJ10">
        <v>4555</v>
      </c>
      <c r="BK10">
        <v>4715</v>
      </c>
    </row>
    <row r="11" spans="1:63">
      <c r="A11" t="s">
        <v>8</v>
      </c>
      <c r="B11">
        <v>4642</v>
      </c>
      <c r="C11">
        <v>972</v>
      </c>
      <c r="D11">
        <v>982</v>
      </c>
      <c r="E11">
        <v>972</v>
      </c>
      <c r="F11">
        <v>908</v>
      </c>
      <c r="G11">
        <v>798</v>
      </c>
      <c r="H11">
        <v>887</v>
      </c>
      <c r="I11">
        <v>917</v>
      </c>
      <c r="J11">
        <v>908</v>
      </c>
      <c r="K11">
        <v>906</v>
      </c>
      <c r="L11">
        <v>915</v>
      </c>
      <c r="M11">
        <v>940</v>
      </c>
      <c r="N11">
        <v>958</v>
      </c>
      <c r="O11">
        <v>969</v>
      </c>
      <c r="P11">
        <v>975</v>
      </c>
      <c r="Q11">
        <v>948</v>
      </c>
      <c r="R11">
        <v>935</v>
      </c>
      <c r="S11">
        <v>955</v>
      </c>
      <c r="T11">
        <v>970</v>
      </c>
      <c r="U11">
        <v>951</v>
      </c>
      <c r="V11">
        <v>951</v>
      </c>
      <c r="W11">
        <v>946</v>
      </c>
      <c r="X11">
        <v>1001</v>
      </c>
      <c r="Y11">
        <v>1080</v>
      </c>
      <c r="Z11">
        <v>1141</v>
      </c>
      <c r="AA11">
        <v>1173</v>
      </c>
      <c r="AB11">
        <v>996</v>
      </c>
      <c r="AC11">
        <v>900</v>
      </c>
      <c r="AD11">
        <v>865</v>
      </c>
      <c r="AE11">
        <v>868</v>
      </c>
      <c r="AF11">
        <v>854</v>
      </c>
      <c r="AG11">
        <v>881</v>
      </c>
      <c r="AH11">
        <v>905</v>
      </c>
      <c r="AI11">
        <v>965</v>
      </c>
      <c r="AJ11">
        <v>876</v>
      </c>
      <c r="AK11">
        <v>837</v>
      </c>
      <c r="AL11">
        <v>822</v>
      </c>
      <c r="AM11">
        <v>828</v>
      </c>
      <c r="AN11">
        <v>804</v>
      </c>
      <c r="AO11">
        <v>800</v>
      </c>
      <c r="AP11">
        <v>801</v>
      </c>
      <c r="AQ11">
        <v>789</v>
      </c>
      <c r="AR11">
        <v>810</v>
      </c>
      <c r="AS11">
        <v>836</v>
      </c>
      <c r="AT11">
        <v>843</v>
      </c>
      <c r="AU11">
        <v>847</v>
      </c>
      <c r="AV11">
        <v>866</v>
      </c>
      <c r="AW11">
        <v>963</v>
      </c>
      <c r="AX11">
        <v>904</v>
      </c>
      <c r="AY11">
        <v>962</v>
      </c>
      <c r="AZ11">
        <v>1100</v>
      </c>
      <c r="BA11">
        <v>1106</v>
      </c>
      <c r="BB11">
        <v>1145</v>
      </c>
      <c r="BC11">
        <v>1212</v>
      </c>
      <c r="BD11">
        <v>1164</v>
      </c>
      <c r="BE11">
        <v>1134</v>
      </c>
      <c r="BF11">
        <v>1190</v>
      </c>
      <c r="BG11">
        <v>1283</v>
      </c>
      <c r="BH11">
        <v>1277</v>
      </c>
      <c r="BI11">
        <v>1216</v>
      </c>
      <c r="BJ11">
        <v>1198</v>
      </c>
      <c r="BK11">
        <v>1165</v>
      </c>
    </row>
    <row r="12" spans="1:63">
      <c r="A12" t="s">
        <v>0</v>
      </c>
      <c r="B12">
        <v>1942</v>
      </c>
      <c r="C12">
        <v>1041</v>
      </c>
      <c r="D12">
        <v>1049</v>
      </c>
      <c r="E12">
        <v>1041</v>
      </c>
      <c r="F12">
        <v>915</v>
      </c>
      <c r="G12">
        <v>861</v>
      </c>
      <c r="H12">
        <v>905</v>
      </c>
      <c r="I12">
        <v>984</v>
      </c>
      <c r="J12">
        <v>917</v>
      </c>
      <c r="K12">
        <v>826</v>
      </c>
      <c r="L12">
        <v>832</v>
      </c>
      <c r="M12">
        <v>860</v>
      </c>
      <c r="N12">
        <v>783</v>
      </c>
      <c r="O12">
        <v>798</v>
      </c>
      <c r="P12">
        <v>873</v>
      </c>
      <c r="Q12">
        <v>900</v>
      </c>
      <c r="R12">
        <v>874</v>
      </c>
      <c r="S12">
        <v>971</v>
      </c>
      <c r="T12">
        <v>934</v>
      </c>
      <c r="U12">
        <v>906</v>
      </c>
      <c r="V12">
        <v>867</v>
      </c>
      <c r="W12">
        <v>916</v>
      </c>
      <c r="X12">
        <v>946</v>
      </c>
      <c r="Y12">
        <v>930</v>
      </c>
      <c r="Z12">
        <v>882</v>
      </c>
      <c r="AA12">
        <v>810</v>
      </c>
      <c r="AB12">
        <v>857</v>
      </c>
      <c r="AC12">
        <v>851</v>
      </c>
      <c r="AD12">
        <v>873</v>
      </c>
      <c r="AE12">
        <v>834</v>
      </c>
      <c r="AF12">
        <v>824</v>
      </c>
      <c r="AG12">
        <v>802</v>
      </c>
      <c r="AH12">
        <v>846</v>
      </c>
      <c r="AI12">
        <v>825</v>
      </c>
      <c r="AJ12">
        <v>839</v>
      </c>
      <c r="AK12">
        <v>832</v>
      </c>
      <c r="AL12">
        <v>836</v>
      </c>
      <c r="AM12">
        <v>868</v>
      </c>
      <c r="AN12">
        <v>861</v>
      </c>
      <c r="AO12">
        <v>872</v>
      </c>
      <c r="AP12">
        <v>894</v>
      </c>
      <c r="AQ12">
        <v>935</v>
      </c>
      <c r="AR12">
        <v>1022</v>
      </c>
      <c r="AS12">
        <v>1008</v>
      </c>
      <c r="AT12">
        <v>1157</v>
      </c>
      <c r="AU12">
        <v>1246</v>
      </c>
      <c r="AV12">
        <v>1335</v>
      </c>
      <c r="AW12">
        <v>1377</v>
      </c>
      <c r="AX12">
        <v>1396</v>
      </c>
      <c r="AY12">
        <v>1328</v>
      </c>
      <c r="AZ12">
        <v>1378</v>
      </c>
      <c r="BA12">
        <v>1522</v>
      </c>
      <c r="BB12">
        <v>1709</v>
      </c>
      <c r="BC12">
        <v>1749</v>
      </c>
      <c r="BD12">
        <v>1759</v>
      </c>
      <c r="BE12">
        <v>1872</v>
      </c>
      <c r="BF12">
        <v>1722</v>
      </c>
      <c r="BG12">
        <v>2056</v>
      </c>
      <c r="BH12">
        <v>2158</v>
      </c>
      <c r="BI12">
        <v>2226</v>
      </c>
      <c r="BJ12">
        <v>2244.5</v>
      </c>
      <c r="BK12">
        <v>2274</v>
      </c>
    </row>
    <row r="13" spans="1:63">
      <c r="A13" t="s">
        <v>11</v>
      </c>
      <c r="B13">
        <v>6455</v>
      </c>
      <c r="C13">
        <v>1752</v>
      </c>
      <c r="D13">
        <v>1824</v>
      </c>
      <c r="E13">
        <v>1743</v>
      </c>
      <c r="F13">
        <v>1684</v>
      </c>
      <c r="G13">
        <v>1663</v>
      </c>
      <c r="H13">
        <v>1665</v>
      </c>
      <c r="I13">
        <v>1813</v>
      </c>
      <c r="J13">
        <v>1882</v>
      </c>
      <c r="K13">
        <v>1828</v>
      </c>
      <c r="L13">
        <v>1941</v>
      </c>
      <c r="M13">
        <v>2051</v>
      </c>
      <c r="N13">
        <v>1905</v>
      </c>
      <c r="O13">
        <v>1784</v>
      </c>
      <c r="P13">
        <v>1754</v>
      </c>
      <c r="Q13">
        <v>1676</v>
      </c>
      <c r="R13">
        <v>1751</v>
      </c>
      <c r="S13">
        <v>1787</v>
      </c>
      <c r="T13">
        <v>1590</v>
      </c>
      <c r="U13">
        <v>1538</v>
      </c>
      <c r="V13">
        <v>1599</v>
      </c>
      <c r="W13">
        <v>1539</v>
      </c>
      <c r="X13">
        <v>1546</v>
      </c>
      <c r="Y13">
        <v>1521</v>
      </c>
      <c r="Z13">
        <v>1430</v>
      </c>
      <c r="AA13">
        <v>1273</v>
      </c>
      <c r="AB13">
        <v>1308</v>
      </c>
      <c r="AC13">
        <v>1267</v>
      </c>
      <c r="AD13">
        <v>1226</v>
      </c>
      <c r="AE13">
        <v>1236</v>
      </c>
      <c r="AF13">
        <v>1247</v>
      </c>
      <c r="AG13">
        <v>1301</v>
      </c>
      <c r="AH13">
        <v>1320</v>
      </c>
      <c r="AI13">
        <v>1347</v>
      </c>
      <c r="AJ13">
        <v>1270</v>
      </c>
      <c r="AK13">
        <v>1282</v>
      </c>
      <c r="AL13">
        <v>1277</v>
      </c>
      <c r="AM13">
        <v>1266</v>
      </c>
      <c r="AN13">
        <v>1161</v>
      </c>
      <c r="AO13">
        <v>1213</v>
      </c>
      <c r="AP13">
        <v>1217</v>
      </c>
      <c r="AQ13">
        <v>1330</v>
      </c>
      <c r="AR13">
        <v>1428</v>
      </c>
      <c r="AS13">
        <v>1444</v>
      </c>
      <c r="AT13">
        <v>1554</v>
      </c>
      <c r="AU13">
        <v>1548</v>
      </c>
      <c r="AV13">
        <v>1640</v>
      </c>
      <c r="AW13">
        <v>1593</v>
      </c>
      <c r="AX13">
        <v>1540</v>
      </c>
      <c r="AY13">
        <v>1526</v>
      </c>
      <c r="AZ13">
        <v>1554</v>
      </c>
      <c r="BA13">
        <v>1601</v>
      </c>
      <c r="BB13">
        <v>1585</v>
      </c>
      <c r="BC13">
        <v>1637</v>
      </c>
      <c r="BD13">
        <v>1861</v>
      </c>
      <c r="BE13">
        <v>1822</v>
      </c>
      <c r="BF13">
        <v>1871</v>
      </c>
      <c r="BG13">
        <v>1938</v>
      </c>
      <c r="BH13">
        <v>1859</v>
      </c>
      <c r="BI13">
        <v>2203</v>
      </c>
      <c r="BJ13">
        <v>2050</v>
      </c>
      <c r="BK13">
        <v>2071</v>
      </c>
    </row>
    <row r="14" spans="1:63">
      <c r="A14" t="s">
        <v>2</v>
      </c>
      <c r="B14">
        <v>2209</v>
      </c>
      <c r="C14">
        <v>2049</v>
      </c>
      <c r="D14">
        <v>1918</v>
      </c>
      <c r="E14">
        <v>1912</v>
      </c>
      <c r="F14">
        <v>1572</v>
      </c>
      <c r="G14">
        <v>1805</v>
      </c>
      <c r="H14">
        <v>1895</v>
      </c>
      <c r="I14">
        <v>2046</v>
      </c>
      <c r="J14">
        <v>2282</v>
      </c>
      <c r="K14">
        <v>2231</v>
      </c>
      <c r="L14">
        <v>2270</v>
      </c>
      <c r="M14">
        <v>2538</v>
      </c>
      <c r="N14">
        <v>2385</v>
      </c>
      <c r="O14">
        <v>2568</v>
      </c>
      <c r="P14">
        <v>2536</v>
      </c>
      <c r="Q14">
        <v>2555</v>
      </c>
      <c r="R14">
        <v>2506</v>
      </c>
      <c r="S14">
        <v>2538</v>
      </c>
      <c r="T14">
        <v>2398</v>
      </c>
      <c r="U14">
        <v>2344</v>
      </c>
      <c r="V14">
        <v>2325</v>
      </c>
      <c r="W14">
        <v>2289</v>
      </c>
      <c r="X14">
        <v>2355</v>
      </c>
      <c r="Y14">
        <v>2321</v>
      </c>
      <c r="Z14">
        <v>2348</v>
      </c>
      <c r="AA14">
        <v>2162</v>
      </c>
      <c r="AB14">
        <v>2232</v>
      </c>
      <c r="AC14">
        <v>2224</v>
      </c>
      <c r="AD14">
        <v>2297</v>
      </c>
      <c r="AE14">
        <v>2260</v>
      </c>
      <c r="AF14">
        <v>2249</v>
      </c>
      <c r="AG14">
        <v>2342</v>
      </c>
      <c r="AH14">
        <v>2289</v>
      </c>
      <c r="AI14">
        <v>2285</v>
      </c>
      <c r="AJ14">
        <v>2259</v>
      </c>
      <c r="AK14">
        <v>2187</v>
      </c>
      <c r="AL14">
        <v>2188</v>
      </c>
      <c r="AM14">
        <v>2231</v>
      </c>
      <c r="AN14">
        <v>2233</v>
      </c>
      <c r="AO14">
        <v>2242</v>
      </c>
      <c r="AP14">
        <v>2227</v>
      </c>
      <c r="AQ14">
        <v>2224</v>
      </c>
      <c r="AR14">
        <v>2315</v>
      </c>
      <c r="AS14">
        <v>2200</v>
      </c>
      <c r="AT14">
        <v>2245</v>
      </c>
      <c r="AU14">
        <v>2280</v>
      </c>
      <c r="AV14">
        <v>2329</v>
      </c>
      <c r="AW14">
        <v>2264</v>
      </c>
      <c r="AX14">
        <v>2350</v>
      </c>
      <c r="AY14">
        <v>2319</v>
      </c>
      <c r="AZ14">
        <v>2362</v>
      </c>
      <c r="BA14">
        <v>2435</v>
      </c>
      <c r="BB14">
        <v>2470</v>
      </c>
      <c r="BC14">
        <v>2528</v>
      </c>
      <c r="BD14">
        <v>2452</v>
      </c>
      <c r="BE14">
        <v>2574</v>
      </c>
      <c r="BF14">
        <v>2463</v>
      </c>
      <c r="BG14">
        <v>2608</v>
      </c>
      <c r="BH14">
        <v>2494</v>
      </c>
      <c r="BI14">
        <v>2512</v>
      </c>
      <c r="BJ14">
        <v>2438</v>
      </c>
      <c r="BK14">
        <v>2410</v>
      </c>
    </row>
    <row r="15" spans="1:63">
      <c r="A15" t="s">
        <v>3</v>
      </c>
      <c r="B15">
        <v>2325</v>
      </c>
      <c r="C15">
        <v>1729</v>
      </c>
      <c r="D15">
        <v>1814</v>
      </c>
      <c r="E15">
        <v>1800</v>
      </c>
      <c r="F15">
        <v>1651</v>
      </c>
      <c r="G15">
        <v>1645</v>
      </c>
      <c r="H15">
        <v>1571</v>
      </c>
      <c r="I15">
        <v>1788</v>
      </c>
      <c r="J15">
        <v>1737</v>
      </c>
      <c r="K15">
        <v>1530</v>
      </c>
      <c r="L15">
        <v>1786</v>
      </c>
      <c r="M15">
        <v>1934</v>
      </c>
      <c r="N15">
        <v>1869</v>
      </c>
      <c r="O15">
        <v>1951</v>
      </c>
      <c r="P15">
        <v>2041</v>
      </c>
      <c r="Q15">
        <v>1977</v>
      </c>
      <c r="R15">
        <v>1834</v>
      </c>
      <c r="S15">
        <v>2070</v>
      </c>
      <c r="T15">
        <v>2002</v>
      </c>
      <c r="U15">
        <v>2093</v>
      </c>
      <c r="V15">
        <v>2071</v>
      </c>
      <c r="W15">
        <v>1916</v>
      </c>
      <c r="X15">
        <v>1875</v>
      </c>
      <c r="Y15">
        <v>1939</v>
      </c>
      <c r="Z15">
        <v>2010</v>
      </c>
      <c r="AA15">
        <v>1943</v>
      </c>
      <c r="AB15">
        <v>1934</v>
      </c>
      <c r="AC15">
        <v>1976</v>
      </c>
      <c r="AD15">
        <v>2012</v>
      </c>
      <c r="AE15">
        <v>2016</v>
      </c>
      <c r="AF15">
        <v>2099</v>
      </c>
      <c r="AG15">
        <v>2088</v>
      </c>
      <c r="AH15">
        <v>1958</v>
      </c>
      <c r="AI15">
        <v>1977</v>
      </c>
      <c r="AJ15">
        <v>2001</v>
      </c>
      <c r="AK15">
        <v>1969</v>
      </c>
      <c r="AL15">
        <v>2073</v>
      </c>
      <c r="AM15">
        <v>2070</v>
      </c>
      <c r="AN15">
        <v>2036</v>
      </c>
      <c r="AO15">
        <v>2179</v>
      </c>
      <c r="AP15">
        <v>2244</v>
      </c>
      <c r="AQ15">
        <v>2249</v>
      </c>
      <c r="AR15">
        <v>2300</v>
      </c>
      <c r="AS15">
        <v>2485</v>
      </c>
      <c r="AT15">
        <v>2698</v>
      </c>
      <c r="AU15">
        <v>3030</v>
      </c>
      <c r="AV15">
        <v>3010</v>
      </c>
      <c r="AW15">
        <v>3005</v>
      </c>
      <c r="AX15">
        <v>2795</v>
      </c>
      <c r="AY15">
        <v>2827</v>
      </c>
      <c r="AZ15">
        <v>2723</v>
      </c>
      <c r="BA15">
        <v>2770</v>
      </c>
      <c r="BB15">
        <v>2838</v>
      </c>
      <c r="BC15">
        <v>3195</v>
      </c>
      <c r="BD15">
        <v>3145</v>
      </c>
      <c r="BE15">
        <v>3700</v>
      </c>
      <c r="BF15">
        <v>3865</v>
      </c>
      <c r="BG15">
        <v>3920</v>
      </c>
      <c r="BH15">
        <v>3810</v>
      </c>
      <c r="BI15">
        <v>3420</v>
      </c>
      <c r="BJ15">
        <v>4080</v>
      </c>
      <c r="BK15">
        <v>3550</v>
      </c>
    </row>
    <row r="16" spans="1:63">
      <c r="A16" t="s">
        <v>14</v>
      </c>
      <c r="B16">
        <v>9647</v>
      </c>
      <c r="C16">
        <v>2676</v>
      </c>
      <c r="D16">
        <v>3170</v>
      </c>
      <c r="E16">
        <v>3325</v>
      </c>
      <c r="F16">
        <v>2421</v>
      </c>
      <c r="G16">
        <v>1899</v>
      </c>
      <c r="H16">
        <v>2256</v>
      </c>
      <c r="I16">
        <v>2380</v>
      </c>
      <c r="J16">
        <v>2365</v>
      </c>
      <c r="K16">
        <v>2434</v>
      </c>
      <c r="L16">
        <v>2596</v>
      </c>
      <c r="M16">
        <v>2746</v>
      </c>
      <c r="N16">
        <v>2765</v>
      </c>
      <c r="O16">
        <v>3390</v>
      </c>
      <c r="P16">
        <v>3505</v>
      </c>
      <c r="Q16">
        <v>3680</v>
      </c>
      <c r="R16">
        <v>3160</v>
      </c>
      <c r="S16">
        <v>3285</v>
      </c>
      <c r="T16">
        <v>3125</v>
      </c>
      <c r="U16">
        <v>3090</v>
      </c>
      <c r="V16">
        <v>3300</v>
      </c>
      <c r="W16">
        <v>3295</v>
      </c>
      <c r="X16">
        <v>3275</v>
      </c>
      <c r="Y16">
        <v>3345</v>
      </c>
      <c r="Z16">
        <v>3360</v>
      </c>
      <c r="AA16">
        <v>3375</v>
      </c>
      <c r="AB16">
        <v>3345</v>
      </c>
      <c r="AC16">
        <v>3245</v>
      </c>
      <c r="AD16">
        <v>3020</v>
      </c>
      <c r="AE16">
        <v>3100</v>
      </c>
      <c r="AF16">
        <v>3120</v>
      </c>
      <c r="AG16">
        <v>3095</v>
      </c>
      <c r="AH16">
        <v>3075</v>
      </c>
      <c r="AI16">
        <v>3170</v>
      </c>
      <c r="AJ16">
        <v>4865</v>
      </c>
      <c r="AK16">
        <v>3725</v>
      </c>
      <c r="AL16">
        <v>3320</v>
      </c>
      <c r="AM16">
        <v>3405</v>
      </c>
      <c r="AN16">
        <v>3315</v>
      </c>
      <c r="AO16">
        <v>3220</v>
      </c>
      <c r="AP16">
        <v>3300</v>
      </c>
      <c r="AQ16">
        <v>3525</v>
      </c>
      <c r="AR16">
        <v>3730</v>
      </c>
      <c r="AS16">
        <v>3640</v>
      </c>
      <c r="AT16">
        <v>3985</v>
      </c>
      <c r="AU16">
        <v>3595</v>
      </c>
      <c r="AV16">
        <v>3920</v>
      </c>
      <c r="AW16">
        <v>3925</v>
      </c>
      <c r="AX16">
        <v>3725</v>
      </c>
      <c r="AY16">
        <v>3760</v>
      </c>
      <c r="AZ16">
        <v>3910</v>
      </c>
      <c r="BA16">
        <v>4700</v>
      </c>
      <c r="BB16">
        <v>4650</v>
      </c>
      <c r="BC16">
        <v>4685</v>
      </c>
      <c r="BD16">
        <v>4700</v>
      </c>
      <c r="BE16">
        <v>4400</v>
      </c>
      <c r="BF16">
        <v>4600</v>
      </c>
      <c r="BG16">
        <v>5080</v>
      </c>
      <c r="BH16">
        <v>4995</v>
      </c>
      <c r="BI16">
        <v>5180</v>
      </c>
      <c r="BJ16">
        <v>5190</v>
      </c>
      <c r="BK16">
        <v>4870</v>
      </c>
    </row>
    <row r="17" spans="1:63">
      <c r="A17" t="s">
        <v>18</v>
      </c>
      <c r="B17">
        <v>9934</v>
      </c>
      <c r="C17">
        <v>2620</v>
      </c>
      <c r="D17">
        <v>2780</v>
      </c>
      <c r="E17">
        <v>2763</v>
      </c>
      <c r="F17">
        <v>2391</v>
      </c>
      <c r="G17">
        <v>2302</v>
      </c>
      <c r="H17">
        <v>2302</v>
      </c>
      <c r="I17">
        <v>2459</v>
      </c>
      <c r="J17">
        <v>2402</v>
      </c>
      <c r="K17">
        <v>2425</v>
      </c>
      <c r="L17">
        <v>2630</v>
      </c>
      <c r="M17">
        <v>2629</v>
      </c>
      <c r="N17">
        <v>2508</v>
      </c>
      <c r="O17">
        <v>2397</v>
      </c>
      <c r="P17">
        <v>2526</v>
      </c>
      <c r="Q17">
        <v>2445</v>
      </c>
      <c r="R17">
        <v>2526</v>
      </c>
      <c r="S17">
        <v>2668</v>
      </c>
      <c r="T17">
        <v>2556</v>
      </c>
      <c r="U17">
        <v>2554</v>
      </c>
      <c r="V17">
        <v>2586</v>
      </c>
      <c r="W17">
        <v>2665</v>
      </c>
      <c r="X17">
        <v>2697</v>
      </c>
      <c r="Y17">
        <v>2730</v>
      </c>
      <c r="Z17">
        <v>2726</v>
      </c>
      <c r="AA17">
        <v>2459</v>
      </c>
      <c r="AB17">
        <v>2702</v>
      </c>
      <c r="AC17">
        <v>2654</v>
      </c>
      <c r="AD17">
        <v>2665</v>
      </c>
      <c r="AE17">
        <v>2484</v>
      </c>
      <c r="AF17">
        <v>2558</v>
      </c>
      <c r="AG17">
        <v>2604</v>
      </c>
      <c r="AH17">
        <v>2665</v>
      </c>
      <c r="AI17">
        <v>2769</v>
      </c>
      <c r="AJ17">
        <v>2755</v>
      </c>
      <c r="AK17">
        <v>2727</v>
      </c>
      <c r="AL17">
        <v>2778</v>
      </c>
      <c r="AM17">
        <v>2782</v>
      </c>
      <c r="AN17">
        <v>2711</v>
      </c>
      <c r="AO17">
        <v>2814</v>
      </c>
      <c r="AP17">
        <v>2816</v>
      </c>
      <c r="AQ17">
        <v>2890</v>
      </c>
      <c r="AR17">
        <v>3025</v>
      </c>
      <c r="AS17">
        <v>3005</v>
      </c>
      <c r="AT17">
        <v>3275</v>
      </c>
      <c r="AU17">
        <v>3155</v>
      </c>
      <c r="AV17">
        <v>3155</v>
      </c>
      <c r="AW17">
        <v>3235</v>
      </c>
      <c r="AX17">
        <v>3130</v>
      </c>
      <c r="AY17">
        <v>3280</v>
      </c>
      <c r="AZ17">
        <v>3400</v>
      </c>
      <c r="BA17">
        <v>3540</v>
      </c>
      <c r="BB17">
        <v>3535</v>
      </c>
      <c r="BC17">
        <v>3505</v>
      </c>
      <c r="BD17">
        <v>3685</v>
      </c>
      <c r="BE17">
        <v>3875</v>
      </c>
      <c r="BF17">
        <v>3920</v>
      </c>
      <c r="BG17">
        <v>3960</v>
      </c>
      <c r="BH17">
        <v>3825</v>
      </c>
      <c r="BI17">
        <v>3830</v>
      </c>
      <c r="BJ17">
        <v>3856</v>
      </c>
      <c r="BK17">
        <v>3821</v>
      </c>
    </row>
    <row r="18" spans="1:63">
      <c r="A18" t="s">
        <v>1</v>
      </c>
      <c r="B18">
        <v>2153</v>
      </c>
      <c r="C18">
        <v>713.5</v>
      </c>
      <c r="D18">
        <v>859.5</v>
      </c>
      <c r="E18">
        <v>848</v>
      </c>
      <c r="F18">
        <v>703</v>
      </c>
      <c r="G18">
        <v>648</v>
      </c>
      <c r="H18">
        <v>755</v>
      </c>
      <c r="I18">
        <v>781</v>
      </c>
      <c r="J18">
        <v>956.5</v>
      </c>
      <c r="K18">
        <v>991.5</v>
      </c>
      <c r="L18">
        <v>1144</v>
      </c>
      <c r="M18">
        <v>1319</v>
      </c>
      <c r="N18">
        <v>1039</v>
      </c>
      <c r="O18">
        <v>1034</v>
      </c>
      <c r="P18">
        <v>1049</v>
      </c>
      <c r="Q18">
        <v>992</v>
      </c>
      <c r="R18">
        <v>989</v>
      </c>
      <c r="S18">
        <v>1061</v>
      </c>
      <c r="T18">
        <v>1070</v>
      </c>
      <c r="U18">
        <v>1067</v>
      </c>
      <c r="V18">
        <v>1056</v>
      </c>
      <c r="W18">
        <v>1307</v>
      </c>
      <c r="X18">
        <v>1261</v>
      </c>
      <c r="Y18">
        <v>1335</v>
      </c>
      <c r="Z18">
        <v>1249</v>
      </c>
      <c r="AA18">
        <v>1179</v>
      </c>
      <c r="AB18">
        <v>1247</v>
      </c>
      <c r="AC18">
        <v>1157</v>
      </c>
      <c r="AD18">
        <v>1177</v>
      </c>
      <c r="AE18">
        <v>1231</v>
      </c>
      <c r="AF18">
        <v>1153</v>
      </c>
      <c r="AG18">
        <v>1150</v>
      </c>
      <c r="AH18">
        <v>1189</v>
      </c>
      <c r="AI18">
        <v>1310</v>
      </c>
      <c r="AJ18">
        <v>1301</v>
      </c>
      <c r="AK18">
        <v>1298</v>
      </c>
      <c r="AL18">
        <v>1302</v>
      </c>
      <c r="AM18">
        <v>1305</v>
      </c>
      <c r="AN18">
        <v>1330</v>
      </c>
      <c r="AO18">
        <v>1326</v>
      </c>
      <c r="AP18">
        <v>1410</v>
      </c>
      <c r="AQ18">
        <v>1495</v>
      </c>
      <c r="AR18">
        <v>1612</v>
      </c>
      <c r="AS18">
        <v>1483</v>
      </c>
      <c r="AT18">
        <v>1613</v>
      </c>
      <c r="AU18">
        <v>1639</v>
      </c>
      <c r="AV18">
        <v>1695</v>
      </c>
      <c r="AW18">
        <v>1739</v>
      </c>
      <c r="AX18">
        <v>1608</v>
      </c>
      <c r="AY18">
        <v>1605</v>
      </c>
      <c r="AZ18">
        <v>1620</v>
      </c>
      <c r="BA18">
        <v>1735</v>
      </c>
      <c r="BB18">
        <v>1713</v>
      </c>
      <c r="BC18">
        <v>1804</v>
      </c>
      <c r="BD18">
        <v>1857</v>
      </c>
      <c r="BE18">
        <v>1783</v>
      </c>
      <c r="BF18">
        <v>1910</v>
      </c>
      <c r="BG18">
        <v>1813</v>
      </c>
      <c r="BH18">
        <v>1799</v>
      </c>
      <c r="BI18">
        <v>1810</v>
      </c>
      <c r="BJ18">
        <v>1715</v>
      </c>
      <c r="BK18">
        <v>1730</v>
      </c>
    </row>
    <row r="19" spans="1:63">
      <c r="A19" t="s">
        <v>7</v>
      </c>
      <c r="B19">
        <v>3191</v>
      </c>
      <c r="C19">
        <v>1469</v>
      </c>
      <c r="D19">
        <v>1396</v>
      </c>
      <c r="E19">
        <v>1250</v>
      </c>
      <c r="F19">
        <v>1137</v>
      </c>
      <c r="G19">
        <v>1246</v>
      </c>
      <c r="H19">
        <v>1308</v>
      </c>
      <c r="I19">
        <v>1345</v>
      </c>
      <c r="J19">
        <v>1420</v>
      </c>
      <c r="K19">
        <v>1518</v>
      </c>
      <c r="L19">
        <v>1512</v>
      </c>
      <c r="M19">
        <v>1714</v>
      </c>
      <c r="N19">
        <v>1622</v>
      </c>
      <c r="O19">
        <v>1453</v>
      </c>
      <c r="P19">
        <v>1480</v>
      </c>
      <c r="Q19">
        <v>1388</v>
      </c>
      <c r="R19">
        <v>1344</v>
      </c>
      <c r="S19">
        <v>1435</v>
      </c>
      <c r="T19">
        <v>1345</v>
      </c>
      <c r="U19">
        <v>1307</v>
      </c>
      <c r="V19">
        <v>1354</v>
      </c>
      <c r="W19">
        <v>1379</v>
      </c>
      <c r="X19">
        <v>1404</v>
      </c>
      <c r="Y19">
        <v>1552</v>
      </c>
      <c r="Z19">
        <v>1563</v>
      </c>
      <c r="AA19">
        <v>1560</v>
      </c>
      <c r="AB19">
        <v>1473</v>
      </c>
      <c r="AC19">
        <v>1522</v>
      </c>
      <c r="AD19">
        <v>1592</v>
      </c>
      <c r="AE19">
        <v>1500</v>
      </c>
      <c r="AF19">
        <v>1559</v>
      </c>
      <c r="AG19">
        <v>1596</v>
      </c>
      <c r="AH19">
        <v>1584</v>
      </c>
      <c r="AI19">
        <v>1570</v>
      </c>
      <c r="AJ19">
        <v>1741</v>
      </c>
      <c r="AK19">
        <v>1784</v>
      </c>
      <c r="AL19">
        <v>1814</v>
      </c>
      <c r="AM19">
        <v>1849</v>
      </c>
      <c r="AN19">
        <v>1932</v>
      </c>
      <c r="AO19">
        <v>1862</v>
      </c>
      <c r="AP19">
        <v>1736</v>
      </c>
      <c r="AQ19">
        <v>1713</v>
      </c>
      <c r="AR19">
        <v>1807</v>
      </c>
      <c r="AS19">
        <v>1716</v>
      </c>
      <c r="AT19">
        <v>1695</v>
      </c>
      <c r="AU19">
        <v>1646</v>
      </c>
      <c r="AV19">
        <v>1716</v>
      </c>
      <c r="AW19">
        <v>1758</v>
      </c>
      <c r="AX19">
        <v>1768</v>
      </c>
      <c r="AY19">
        <v>1792</v>
      </c>
      <c r="AZ19">
        <v>1846</v>
      </c>
      <c r="BA19">
        <v>1960</v>
      </c>
      <c r="BB19">
        <v>2087</v>
      </c>
      <c r="BC19">
        <v>2191</v>
      </c>
      <c r="BD19">
        <v>2246</v>
      </c>
      <c r="BE19">
        <v>2121</v>
      </c>
      <c r="BF19">
        <v>2232</v>
      </c>
      <c r="BG19">
        <v>2179</v>
      </c>
      <c r="BH19">
        <v>2147</v>
      </c>
      <c r="BI19">
        <v>2083</v>
      </c>
      <c r="BJ19">
        <v>2065</v>
      </c>
      <c r="BK19">
        <v>1809</v>
      </c>
    </row>
    <row r="20" spans="1:63">
      <c r="A20" t="s">
        <v>17</v>
      </c>
      <c r="B20">
        <v>9765</v>
      </c>
      <c r="C20">
        <v>776</v>
      </c>
      <c r="D20">
        <v>884</v>
      </c>
      <c r="E20">
        <v>818</v>
      </c>
      <c r="F20">
        <v>590</v>
      </c>
      <c r="G20">
        <v>507</v>
      </c>
      <c r="H20">
        <v>608</v>
      </c>
      <c r="I20">
        <v>656</v>
      </c>
      <c r="J20">
        <v>617</v>
      </c>
      <c r="K20">
        <v>643</v>
      </c>
      <c r="L20">
        <v>702</v>
      </c>
      <c r="M20">
        <v>860</v>
      </c>
      <c r="N20">
        <v>720</v>
      </c>
      <c r="O20">
        <v>753</v>
      </c>
      <c r="P20">
        <v>719</v>
      </c>
      <c r="Q20">
        <v>730</v>
      </c>
      <c r="R20">
        <v>738</v>
      </c>
      <c r="S20">
        <v>820</v>
      </c>
      <c r="T20">
        <v>847</v>
      </c>
      <c r="U20">
        <v>779</v>
      </c>
      <c r="V20">
        <v>794</v>
      </c>
      <c r="W20">
        <v>803</v>
      </c>
      <c r="X20">
        <v>821</v>
      </c>
      <c r="Y20">
        <v>848</v>
      </c>
      <c r="Z20">
        <v>812</v>
      </c>
      <c r="AA20">
        <v>760</v>
      </c>
      <c r="AB20">
        <v>789</v>
      </c>
      <c r="AC20">
        <v>734</v>
      </c>
      <c r="AD20">
        <v>690</v>
      </c>
      <c r="AE20">
        <v>760</v>
      </c>
      <c r="AF20">
        <v>778</v>
      </c>
      <c r="AG20">
        <v>741</v>
      </c>
      <c r="AH20">
        <v>746</v>
      </c>
      <c r="AI20">
        <v>713</v>
      </c>
      <c r="AJ20">
        <v>724</v>
      </c>
      <c r="AK20">
        <v>691</v>
      </c>
      <c r="AL20">
        <v>683</v>
      </c>
      <c r="AM20">
        <v>681</v>
      </c>
      <c r="AN20">
        <v>654</v>
      </c>
      <c r="AO20">
        <v>726</v>
      </c>
      <c r="AP20">
        <v>722</v>
      </c>
      <c r="AQ20">
        <v>780</v>
      </c>
      <c r="AR20">
        <v>788</v>
      </c>
      <c r="AS20">
        <v>722</v>
      </c>
      <c r="AT20">
        <v>780</v>
      </c>
      <c r="AU20">
        <v>906</v>
      </c>
      <c r="AV20">
        <v>882</v>
      </c>
      <c r="AW20">
        <v>953</v>
      </c>
      <c r="AX20">
        <v>913</v>
      </c>
      <c r="AY20">
        <v>918</v>
      </c>
      <c r="AZ20">
        <v>918</v>
      </c>
      <c r="BA20">
        <v>1015</v>
      </c>
      <c r="BB20">
        <v>996</v>
      </c>
      <c r="BC20">
        <v>1030</v>
      </c>
      <c r="BD20">
        <v>1127</v>
      </c>
      <c r="BE20">
        <v>1027</v>
      </c>
      <c r="BF20">
        <v>1082</v>
      </c>
      <c r="BG20">
        <v>1093</v>
      </c>
      <c r="BH20">
        <v>1033</v>
      </c>
      <c r="BI20">
        <v>1019</v>
      </c>
      <c r="BJ20">
        <v>1013</v>
      </c>
      <c r="BK20">
        <v>1027</v>
      </c>
    </row>
    <row r="21" spans="1:63">
      <c r="A21" t="s">
        <v>6</v>
      </c>
      <c r="B21">
        <v>2894</v>
      </c>
      <c r="C21">
        <v>225</v>
      </c>
      <c r="D21">
        <v>220</v>
      </c>
      <c r="E21">
        <v>216</v>
      </c>
      <c r="F21">
        <v>201</v>
      </c>
      <c r="G21">
        <v>201</v>
      </c>
      <c r="H21">
        <v>216</v>
      </c>
      <c r="I21">
        <v>217</v>
      </c>
      <c r="J21">
        <v>219</v>
      </c>
      <c r="K21">
        <v>206</v>
      </c>
      <c r="L21">
        <v>222</v>
      </c>
      <c r="M21">
        <v>220</v>
      </c>
      <c r="N21">
        <v>221</v>
      </c>
      <c r="O21">
        <v>224</v>
      </c>
      <c r="P21">
        <v>225</v>
      </c>
      <c r="Q21">
        <v>233</v>
      </c>
      <c r="R21">
        <v>238</v>
      </c>
      <c r="S21">
        <v>235</v>
      </c>
      <c r="T21">
        <v>240</v>
      </c>
      <c r="U21">
        <v>242</v>
      </c>
      <c r="V21">
        <v>246</v>
      </c>
      <c r="W21">
        <v>244</v>
      </c>
      <c r="X21">
        <v>243</v>
      </c>
      <c r="Y21">
        <v>248</v>
      </c>
      <c r="Z21">
        <v>243</v>
      </c>
      <c r="AA21">
        <v>242</v>
      </c>
      <c r="AB21">
        <v>244</v>
      </c>
      <c r="AC21">
        <v>245</v>
      </c>
      <c r="AD21">
        <v>249</v>
      </c>
      <c r="AE21">
        <v>247</v>
      </c>
      <c r="AF21">
        <v>243</v>
      </c>
      <c r="AG21">
        <v>246</v>
      </c>
      <c r="AH21">
        <v>244</v>
      </c>
      <c r="AI21">
        <v>245</v>
      </c>
      <c r="AJ21">
        <v>246</v>
      </c>
      <c r="AK21">
        <v>243</v>
      </c>
      <c r="AL21">
        <v>243</v>
      </c>
      <c r="AM21">
        <v>244</v>
      </c>
      <c r="AN21">
        <v>246</v>
      </c>
      <c r="AO21">
        <v>246</v>
      </c>
      <c r="AP21">
        <v>250</v>
      </c>
      <c r="AQ21">
        <v>247</v>
      </c>
      <c r="AR21">
        <v>248</v>
      </c>
      <c r="AS21">
        <v>246</v>
      </c>
      <c r="AT21">
        <v>247</v>
      </c>
      <c r="AU21">
        <v>285</v>
      </c>
      <c r="AV21">
        <v>288</v>
      </c>
      <c r="AW21">
        <v>300</v>
      </c>
      <c r="AX21">
        <v>281</v>
      </c>
      <c r="AY21">
        <v>289</v>
      </c>
      <c r="AZ21">
        <v>312</v>
      </c>
      <c r="BA21">
        <v>333</v>
      </c>
      <c r="BB21">
        <v>328</v>
      </c>
      <c r="BC21">
        <v>340</v>
      </c>
      <c r="BD21">
        <v>322</v>
      </c>
      <c r="BE21">
        <v>302</v>
      </c>
      <c r="BF21">
        <v>304</v>
      </c>
      <c r="BG21">
        <v>307</v>
      </c>
      <c r="BH21">
        <v>306</v>
      </c>
      <c r="BI21">
        <v>303</v>
      </c>
      <c r="BJ21">
        <v>300</v>
      </c>
      <c r="BK21">
        <v>304</v>
      </c>
    </row>
    <row r="22" spans="1:63">
      <c r="A22" t="s">
        <v>10</v>
      </c>
      <c r="B22">
        <v>6282</v>
      </c>
      <c r="C22">
        <v>1683</v>
      </c>
      <c r="D22">
        <v>1663</v>
      </c>
      <c r="E22">
        <v>1542</v>
      </c>
      <c r="F22">
        <v>1418</v>
      </c>
      <c r="G22">
        <v>1368</v>
      </c>
      <c r="H22">
        <v>1400</v>
      </c>
      <c r="I22">
        <v>1420</v>
      </c>
      <c r="J22">
        <v>1397</v>
      </c>
      <c r="K22">
        <v>1348</v>
      </c>
      <c r="L22">
        <v>1376</v>
      </c>
      <c r="M22">
        <v>1528</v>
      </c>
      <c r="N22">
        <v>1455</v>
      </c>
      <c r="O22">
        <v>1594</v>
      </c>
      <c r="P22">
        <v>1622</v>
      </c>
      <c r="Q22">
        <v>1629</v>
      </c>
      <c r="R22">
        <v>1643</v>
      </c>
      <c r="S22">
        <v>1694</v>
      </c>
      <c r="T22">
        <v>1556</v>
      </c>
      <c r="U22">
        <v>1546</v>
      </c>
      <c r="V22">
        <v>1548</v>
      </c>
      <c r="W22">
        <v>1614</v>
      </c>
      <c r="X22">
        <v>1624</v>
      </c>
      <c r="Y22">
        <v>1647</v>
      </c>
      <c r="Z22">
        <v>1689</v>
      </c>
      <c r="AA22">
        <v>1643</v>
      </c>
      <c r="AB22">
        <v>1689</v>
      </c>
      <c r="AC22">
        <v>1601</v>
      </c>
      <c r="AD22">
        <v>1598</v>
      </c>
      <c r="AE22">
        <v>1515</v>
      </c>
      <c r="AF22">
        <v>1497</v>
      </c>
      <c r="AG22">
        <v>1548</v>
      </c>
      <c r="AH22">
        <v>1526</v>
      </c>
      <c r="AI22">
        <v>1599</v>
      </c>
      <c r="AJ22">
        <v>1511</v>
      </c>
      <c r="AK22">
        <v>1475</v>
      </c>
      <c r="AL22">
        <v>1494</v>
      </c>
      <c r="AM22">
        <v>1494</v>
      </c>
      <c r="AN22">
        <v>1462</v>
      </c>
      <c r="AO22">
        <v>1543</v>
      </c>
      <c r="AP22">
        <v>1649</v>
      </c>
      <c r="AQ22">
        <v>1680</v>
      </c>
      <c r="AR22">
        <v>1715</v>
      </c>
      <c r="AS22">
        <v>1869</v>
      </c>
      <c r="AT22">
        <v>1993</v>
      </c>
      <c r="AU22">
        <v>1937</v>
      </c>
      <c r="AV22">
        <v>2067</v>
      </c>
      <c r="AW22">
        <v>2008</v>
      </c>
      <c r="AX22">
        <v>1906</v>
      </c>
      <c r="AY22">
        <v>1954</v>
      </c>
      <c r="AZ22">
        <v>1981</v>
      </c>
      <c r="BA22">
        <v>2140</v>
      </c>
      <c r="BB22">
        <v>2060</v>
      </c>
      <c r="BC22">
        <v>2268</v>
      </c>
      <c r="BD22">
        <v>2388</v>
      </c>
      <c r="BE22">
        <v>2254</v>
      </c>
      <c r="BF22">
        <v>2335</v>
      </c>
      <c r="BG22">
        <v>2364</v>
      </c>
      <c r="BH22">
        <v>2118</v>
      </c>
      <c r="BI22">
        <v>2036</v>
      </c>
      <c r="BJ22">
        <v>2001</v>
      </c>
      <c r="BK22">
        <v>2312</v>
      </c>
    </row>
    <row r="23" spans="1:63">
      <c r="A23" t="s">
        <v>19</v>
      </c>
      <c r="B23">
        <v>9405</v>
      </c>
      <c r="C23">
        <v>738</v>
      </c>
      <c r="D23">
        <v>775</v>
      </c>
      <c r="E23">
        <v>749</v>
      </c>
      <c r="F23">
        <v>681</v>
      </c>
      <c r="G23">
        <v>691</v>
      </c>
      <c r="H23">
        <v>693</v>
      </c>
      <c r="I23">
        <v>735</v>
      </c>
      <c r="J23">
        <v>770</v>
      </c>
      <c r="K23">
        <v>714</v>
      </c>
      <c r="L23">
        <v>717</v>
      </c>
      <c r="M23">
        <v>713</v>
      </c>
      <c r="N23">
        <v>676</v>
      </c>
      <c r="O23">
        <v>693</v>
      </c>
      <c r="P23">
        <v>692</v>
      </c>
      <c r="Q23">
        <v>699</v>
      </c>
      <c r="R23">
        <v>707</v>
      </c>
      <c r="S23">
        <v>727</v>
      </c>
      <c r="T23">
        <v>695</v>
      </c>
      <c r="U23">
        <v>709</v>
      </c>
      <c r="V23">
        <v>703</v>
      </c>
      <c r="W23">
        <v>705</v>
      </c>
      <c r="X23">
        <v>709</v>
      </c>
      <c r="Y23">
        <v>742</v>
      </c>
      <c r="Z23">
        <v>718</v>
      </c>
      <c r="AA23">
        <v>682</v>
      </c>
      <c r="AB23">
        <v>711</v>
      </c>
      <c r="AC23">
        <v>700</v>
      </c>
      <c r="AD23">
        <v>740</v>
      </c>
      <c r="AE23">
        <v>714</v>
      </c>
      <c r="AF23">
        <v>706</v>
      </c>
      <c r="AG23">
        <v>663</v>
      </c>
      <c r="AH23">
        <v>655</v>
      </c>
      <c r="AI23">
        <v>657</v>
      </c>
      <c r="AJ23">
        <v>650</v>
      </c>
      <c r="AK23">
        <v>628</v>
      </c>
      <c r="AL23">
        <v>620</v>
      </c>
      <c r="AM23">
        <v>622</v>
      </c>
      <c r="AN23">
        <v>639</v>
      </c>
      <c r="AO23">
        <v>645</v>
      </c>
      <c r="AP23">
        <v>678</v>
      </c>
      <c r="AQ23">
        <v>659</v>
      </c>
      <c r="AR23">
        <v>672</v>
      </c>
      <c r="AS23">
        <v>642</v>
      </c>
      <c r="AT23">
        <v>662</v>
      </c>
      <c r="AU23">
        <v>689</v>
      </c>
      <c r="AV23">
        <v>677</v>
      </c>
      <c r="AW23">
        <v>711</v>
      </c>
      <c r="AX23">
        <v>663</v>
      </c>
      <c r="AY23">
        <v>643</v>
      </c>
      <c r="AZ23">
        <v>665</v>
      </c>
      <c r="BA23">
        <v>673</v>
      </c>
      <c r="BB23">
        <v>686</v>
      </c>
      <c r="BC23">
        <v>657</v>
      </c>
      <c r="BD23">
        <v>647</v>
      </c>
      <c r="BE23">
        <v>661</v>
      </c>
      <c r="BF23">
        <v>677</v>
      </c>
      <c r="BG23">
        <v>688</v>
      </c>
      <c r="BH23">
        <v>651</v>
      </c>
      <c r="BI23">
        <v>639</v>
      </c>
      <c r="BJ23">
        <v>620</v>
      </c>
      <c r="BK23">
        <v>609</v>
      </c>
    </row>
  </sheetData>
  <phoneticPr fontId="1"/>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5121" r:id="rId4" name="cmdユーザーフォーム">
          <controlPr defaultSize="0" autoLine="0" r:id="rId5">
            <anchor moveWithCells="1">
              <from>
                <xdr:col>0</xdr:col>
                <xdr:colOff>0</xdr:colOff>
                <xdr:row>0</xdr:row>
                <xdr:rowOff>0</xdr:rowOff>
              </from>
              <to>
                <xdr:col>0</xdr:col>
                <xdr:colOff>1466850</xdr:colOff>
                <xdr:row>2</xdr:row>
                <xdr:rowOff>0</xdr:rowOff>
              </to>
            </anchor>
          </controlPr>
        </control>
      </mc:Choice>
      <mc:Fallback>
        <control shapeId="5121" r:id="rId4" name="cmdユーザーフォーム"/>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E34F-B5B2-431D-BC79-1534CF0E5F36}">
  <sheetPr codeName="Sheet4"/>
  <dimension ref="A1:BL128"/>
  <sheetViews>
    <sheetView zoomScale="70" zoomScaleNormal="70" workbookViewId="0"/>
  </sheetViews>
  <sheetFormatPr defaultRowHeight="14.25"/>
  <sheetData>
    <row r="1" spans="1:64">
      <c r="B1" t="s">
        <v>84</v>
      </c>
      <c r="BK1" t="s">
        <v>85</v>
      </c>
      <c r="BL1" t="s">
        <v>86</v>
      </c>
    </row>
    <row r="2" spans="1:64">
      <c r="A2" t="str">
        <f>株価データサンプル!A4</f>
        <v>ウェザーニューズ</v>
      </c>
      <c r="B2">
        <f>LN(株価データサンプル!D4/株価データサンプル!C4)</f>
        <v>2.451456576358578E-2</v>
      </c>
      <c r="C2">
        <f>LN(株価データサンプル!E4/株価データサンプル!D4)</f>
        <v>9.1157565479832878E-2</v>
      </c>
      <c r="D2">
        <f>LN(株価データサンプル!F4/株価データサンプル!E4)</f>
        <v>-0.11713305188309353</v>
      </c>
      <c r="E2">
        <f>LN(株価データサンプル!G4/株価データサンプル!F4)</f>
        <v>3.3072748274022359E-2</v>
      </c>
      <c r="F2">
        <f>LN(株価データサンプル!H4/株価データサンプル!G4)</f>
        <v>4.6969959399514233E-2</v>
      </c>
      <c r="G2">
        <f>LN(株価データサンプル!I4/株価データサンプル!H4)</f>
        <v>1.8717123952937773E-2</v>
      </c>
      <c r="H2">
        <f>LN(株価データサンプル!J4/株価データサンプル!I4)</f>
        <v>-6.9939393090982238E-2</v>
      </c>
      <c r="I2">
        <f>LN(株価データサンプル!K4/株価データサンプル!J4)</f>
        <v>9.0910017405287133E-2</v>
      </c>
      <c r="J2">
        <f>LN(株価データサンプル!L4/株価データサンプル!K4)</f>
        <v>0.21924491089855244</v>
      </c>
      <c r="K2">
        <f>LN(株価データサンプル!M4/株価データサンプル!L4)</f>
        <v>0.21813100949066541</v>
      </c>
      <c r="L2">
        <f>LN(株価データサンプル!N4/株価データサンプル!M4)</f>
        <v>-7.8369067115506771E-2</v>
      </c>
      <c r="M2">
        <f>LN(株価データサンプル!O4/株価データサンプル!N4)</f>
        <v>1.4388737452099671E-2</v>
      </c>
      <c r="N2">
        <f>LN(株価データサンプル!P4/株価データサンプル!O4)</f>
        <v>-7.168489478612516E-3</v>
      </c>
      <c r="O2">
        <f>LN(株価データサンプル!Q4/株価データサンプル!P4)</f>
        <v>-0.14178737347154172</v>
      </c>
      <c r="P2">
        <f>LN(株価データサンプル!R4/株価データサンプル!Q4)</f>
        <v>2.4566230283726231E-2</v>
      </c>
      <c r="Q2">
        <f>LN(株価データサンプル!S4/株価データサンプル!R4)</f>
        <v>6.3653397478595566E-2</v>
      </c>
      <c r="R2">
        <f>LN(株価データサンプル!T4/株価データサンプル!S4)</f>
        <v>1.1320875624482293E-2</v>
      </c>
      <c r="S2">
        <f>LN(株価データサンプル!U4/株価データサンプル!T4)</f>
        <v>-1.8779348242002089E-3</v>
      </c>
      <c r="T2">
        <f>LN(株価データサンプル!V4/株価データサンプル!U4)</f>
        <v>8.8107267510266804E-2</v>
      </c>
      <c r="U2">
        <f>LN(株価データサンプル!W4/株価データサンプル!V4)</f>
        <v>-6.9484755412264995E-2</v>
      </c>
      <c r="V2">
        <f>LN(株価データサンプル!X4/株価データサンプル!W4)</f>
        <v>6.4307867232731256E-2</v>
      </c>
      <c r="W2">
        <f>LN(株価データサンプル!Y4/株価データサンプル!X4)</f>
        <v>0.13114966583012977</v>
      </c>
      <c r="X2">
        <f>LN(株価データサンプル!Z4/株価データサンプル!Y4)</f>
        <v>0.23190626035294093</v>
      </c>
      <c r="Y2">
        <f>LN(株価データサンプル!AA4/株価データサンプル!Z4)</f>
        <v>0.14638465581025825</v>
      </c>
      <c r="Z2">
        <f>LN(株価データサンプル!AB4/株価データサンプル!AA4)</f>
        <v>0</v>
      </c>
      <c r="AA2">
        <f>LN(株価データサンプル!AC4/株価データサンプル!AB4)</f>
        <v>-0.21744257707597939</v>
      </c>
      <c r="AB2">
        <f>LN(株価データサンプル!AD4/株価データサンプル!AC4)</f>
        <v>2.0461071871340025E-2</v>
      </c>
      <c r="AC2">
        <f>LN(株価データサンプル!AE4/株価データサンプル!AD4)</f>
        <v>0.13700636058191207</v>
      </c>
      <c r="AD2">
        <f>LN(株価データサンプル!AF4/株価データサンプル!AE4)</f>
        <v>-0.2810813884204289</v>
      </c>
      <c r="AE2">
        <f>LN(株価データサンプル!AG4/株価データサンプル!AF4)</f>
        <v>-1.9188780650868653E-2</v>
      </c>
      <c r="AF2">
        <f>LN(株価データサンプル!AH4/株価データサンプル!AG4)</f>
        <v>-1.1994146785819278E-2</v>
      </c>
      <c r="AG2">
        <f>LN(株価データサンプル!AI4/株価データサンプル!AH4)</f>
        <v>0.15479688340386466</v>
      </c>
      <c r="AH2">
        <f>LN(株価データサンプル!AJ4/株価データサンプル!AI4)</f>
        <v>4.1751794680221756E-2</v>
      </c>
      <c r="AI2">
        <f>LN(株価データサンプル!AK4/株価データサンプル!AJ4)</f>
        <v>-7.8598068066187896E-2</v>
      </c>
      <c r="AJ2">
        <f>LN(株価データサンプル!AL4/株価データサンプル!AK4)</f>
        <v>3.9426919979457922E-2</v>
      </c>
      <c r="AK2">
        <f>LN(株価データサンプル!AM4/株価データサンプル!AL4)</f>
        <v>-1.9519162321532956E-2</v>
      </c>
      <c r="AL2">
        <f>LN(株価データサンプル!AN4/株価データサンプル!AM4)</f>
        <v>-6.2350815167678125E-2</v>
      </c>
      <c r="AM2">
        <f>LN(株価データサンプル!AO4/株価データサンプル!AN4)</f>
        <v>-1.5504186535965199E-2</v>
      </c>
      <c r="AN2">
        <f>LN(株価データサンプル!AP4/株価データサンプル!AO4)</f>
        <v>-4.9500643773030699E-2</v>
      </c>
      <c r="AO2">
        <f>LN(株価データサンプル!AQ4/株価データサンプル!AP4)</f>
        <v>-1.2012156448003545E-2</v>
      </c>
      <c r="AP2">
        <f>LN(株価データサンプル!AR4/株価データサンプル!AQ4)</f>
        <v>2.6827242233144276E-2</v>
      </c>
      <c r="AQ2">
        <f>LN(株価データサンプル!AS4/株価データサンプル!AR4)</f>
        <v>-1.7804624633506707E-2</v>
      </c>
      <c r="AR2">
        <f>LN(株価データサンプル!AT4/株価データサンプル!AS4)</f>
        <v>-6.0060240602119218E-3</v>
      </c>
      <c r="AS2">
        <f>LN(株価データサンプル!AU4/株価データサンプル!AT4)</f>
        <v>-4.3083586136311677E-2</v>
      </c>
      <c r="AT2">
        <f>LN(株価データサンプル!AV4/株価データサンプル!AU4)</f>
        <v>3.1397200046678463E-3</v>
      </c>
      <c r="AU2">
        <f>LN(株価データサンプル!AW4/株価データサンプル!AV4)</f>
        <v>-9.4488891979325074E-3</v>
      </c>
      <c r="AV2">
        <f>LN(株価データサンプル!AX4/株価データサンプル!AW4)</f>
        <v>-7.0463210495270753E-2</v>
      </c>
      <c r="AW2">
        <f>LN(株価データサンプル!AY4/株価データサンプル!AX4)</f>
        <v>-3.40136382349029E-3</v>
      </c>
      <c r="AX2">
        <f>LN(株価データサンプル!AZ4/株価データサンプル!AY4)</f>
        <v>-8.1605540981614877E-2</v>
      </c>
      <c r="AY2">
        <f>LN(株価データサンプル!BA4/株価データサンプル!AZ4)</f>
        <v>-9.2851177756795404E-3</v>
      </c>
      <c r="AZ2">
        <f>LN(株価データサンプル!BB4/株価データサンプル!BA4)</f>
        <v>-5.7597491783336438E-2</v>
      </c>
      <c r="BA2">
        <f>LN(株価データサンプル!BC4/株価データサンプル!BB4)</f>
        <v>1.1787955752042173E-2</v>
      </c>
      <c r="BB2">
        <f>LN(株価データサンプル!BD4/株価データサンプル!BC4)</f>
        <v>-9.9518240033597938E-2</v>
      </c>
      <c r="BC2">
        <f>LN(株価データサンプル!BE4/株価データサンプル!BD4)</f>
        <v>-3.8487432985845733E-2</v>
      </c>
      <c r="BD2">
        <f>LN(株価データサンプル!BF4/株価データサンプル!BE4)</f>
        <v>5.0283816426215336E-2</v>
      </c>
      <c r="BE2">
        <f>LN(株価データサンプル!BG4/株価データサンプル!BF4)</f>
        <v>0.20202662787328704</v>
      </c>
      <c r="BF2">
        <f>LN(株価データサンプル!BH4/株価データサンプル!BG4)</f>
        <v>0</v>
      </c>
      <c r="BG2">
        <f>LN(株価データサンプル!BI4/株価データサンプル!BH4)</f>
        <v>8.6730812534288639E-3</v>
      </c>
      <c r="BH2">
        <f>LN(株価データサンプル!BJ4/株価データサンプル!BI4)</f>
        <v>4.3925980457846299E-2</v>
      </c>
      <c r="BI2">
        <f>LN(株価データサンプル!BK4/株価データサンプル!BJ4)</f>
        <v>-2.5105921131076358E-2</v>
      </c>
      <c r="BK2">
        <f t="shared" ref="BK2:BK21" si="0">AVERAGE(B2:BI2)</f>
        <v>9.0641813199580992E-3</v>
      </c>
      <c r="BL2">
        <f t="shared" ref="BL2:BL21" si="1">_xlfn.STDEV.P(B2:BI2)</f>
        <v>9.422353208799894E-2</v>
      </c>
    </row>
    <row r="3" spans="1:64">
      <c r="A3" t="str">
        <f>株価データサンプル!A5</f>
        <v>セコム</v>
      </c>
      <c r="B3">
        <f>LN(株価データサンプル!D5/株価データサンプル!C5)</f>
        <v>4.9265883319960652E-2</v>
      </c>
      <c r="C3">
        <f>LN(株価データサンプル!E5/株価データサンプル!D5)</f>
        <v>-6.5674941033407154E-3</v>
      </c>
      <c r="D3">
        <f>LN(株価データサンプル!F5/株価データサンプル!E5)</f>
        <v>-0.12461420136818985</v>
      </c>
      <c r="E3">
        <f>LN(株価データサンプル!G5/株価データサンプル!F5)</f>
        <v>4.5480514501787889E-2</v>
      </c>
      <c r="F3">
        <f>LN(株価データサンプル!H5/株価データサンプル!G5)</f>
        <v>3.4484710741277225E-3</v>
      </c>
      <c r="G3">
        <f>LN(株価データサンプル!I5/株価データサンプル!H5)</f>
        <v>3.588366889970452E-2</v>
      </c>
      <c r="H3">
        <f>LN(株価データサンプル!J5/株価データサンプル!I5)</f>
        <v>9.4898616969953959E-3</v>
      </c>
      <c r="I3">
        <f>LN(株価データサンプル!K5/株価データサンプル!J5)</f>
        <v>-3.6969190516927902E-2</v>
      </c>
      <c r="J3">
        <f>LN(株価データサンプル!L5/株価データサンプル!K5)</f>
        <v>9.8897654484941519E-2</v>
      </c>
      <c r="K3">
        <f>LN(株価データサンプル!M5/株価データサンプル!L5)</f>
        <v>-4.2694069950000246E-2</v>
      </c>
      <c r="L3">
        <f>LN(株価データサンプル!N5/株価データサンプル!M5)</f>
        <v>-8.8204525053111132E-2</v>
      </c>
      <c r="M3">
        <f>LN(株価データサンプル!O5/株価データサンプル!N5)</f>
        <v>0.16714154312045476</v>
      </c>
      <c r="N3">
        <f>LN(株価データサンプル!P5/株価データサンプル!O5)</f>
        <v>-8.8245248219769895E-2</v>
      </c>
      <c r="O3">
        <f>LN(株価データサンプル!Q5/株価データサンプル!P5)</f>
        <v>-4.2118626021485353E-3</v>
      </c>
      <c r="P3">
        <f>LN(株価データサンプル!R5/株価データサンプル!Q5)</f>
        <v>-2.6842225352429052E-2</v>
      </c>
      <c r="Q3">
        <f>LN(株価データサンプル!S5/株価データサンプル!R5)</f>
        <v>9.3856884038918936E-3</v>
      </c>
      <c r="R3">
        <f>LN(株価データサンプル!T5/株価データサンプル!S5)</f>
        <v>-2.5777706621925491E-2</v>
      </c>
      <c r="S3">
        <f>LN(株価データサンプル!U5/株価データサンプル!T5)</f>
        <v>-5.7365834307906871E-2</v>
      </c>
      <c r="T3">
        <f>LN(株価データサンプル!V5/株価データサンプル!U5)</f>
        <v>-1.481160262361419E-2</v>
      </c>
      <c r="U3">
        <f>LN(株価データサンプル!W5/株価データサンプル!V5)</f>
        <v>-2.2758198655684046E-2</v>
      </c>
      <c r="V3">
        <f>LN(株価データサンプル!X5/株価データサンプル!W5)</f>
        <v>1.0964625783408221E-2</v>
      </c>
      <c r="W3">
        <f>LN(株価データサンプル!Y5/株価データサンプル!X5)</f>
        <v>-2.9428193635210226E-2</v>
      </c>
      <c r="X3">
        <f>LN(株価データサンプル!Z5/株価データサンプル!Y5)</f>
        <v>-4.5961883190266145E-2</v>
      </c>
      <c r="Y3">
        <f>LN(株価データサンプル!AA5/株価データサンプル!Z5)</f>
        <v>-9.7384396197626732E-3</v>
      </c>
      <c r="Z3">
        <f>LN(株価データサンプル!AB5/株価データサンプル!AA5)</f>
        <v>4.1155967972470155E-2</v>
      </c>
      <c r="AA3">
        <f>LN(株価データサンプル!AC5/株価データサンプル!AB5)</f>
        <v>1.219679090034493E-2</v>
      </c>
      <c r="AB3">
        <f>LN(株価データサンプル!AD5/株価データサンプル!AC5)</f>
        <v>4.0960530198361392E-2</v>
      </c>
      <c r="AC3">
        <f>LN(株価データサンプル!AE5/株価データサンプル!AD5)</f>
        <v>5.1601962014329046E-2</v>
      </c>
      <c r="AD3">
        <f>LN(株価データサンプル!AF5/株価データサンプル!AE5)</f>
        <v>3.3924104420915306E-2</v>
      </c>
      <c r="AE3">
        <f>LN(株価データサンプル!AG5/株価データサンプル!AF5)</f>
        <v>-7.6660236153575936E-2</v>
      </c>
      <c r="AF3">
        <f>LN(株価データサンプル!AH5/株価データサンプル!AG5)</f>
        <v>-1.3507314365683936E-2</v>
      </c>
      <c r="AG3">
        <f>LN(株価データサンプル!AI5/株価データサンプル!AH5)</f>
        <v>5.8721203870092796E-2</v>
      </c>
      <c r="AH3">
        <f>LN(株価データサンプル!AJ5/株価データサンプル!AI5)</f>
        <v>3.5930871802597486E-3</v>
      </c>
      <c r="AI3">
        <f>LN(株価データサンプル!AK5/株価データサンプル!AJ5)</f>
        <v>-7.5160376822776459E-2</v>
      </c>
      <c r="AJ3">
        <f>LN(株価データサンプル!AL5/株価データサンプル!AK5)</f>
        <v>2.564701913392984E-2</v>
      </c>
      <c r="AK3">
        <f>LN(株価データサンプル!AM5/株価データサンプル!AL5)</f>
        <v>-7.0688033103672614E-4</v>
      </c>
      <c r="AL3">
        <f>LN(株価データサンプル!AN5/株価データサンプル!AM5)</f>
        <v>-0.11767991781469581</v>
      </c>
      <c r="AM3">
        <f>LN(株価データサンプル!AO5/株価データサンプル!AN5)</f>
        <v>2.332390845518495E-2</v>
      </c>
      <c r="AN3">
        <f>LN(株価データサンプル!AP5/株価データサンプル!AO5)</f>
        <v>2.5826032656426176E-2</v>
      </c>
      <c r="AO3">
        <f>LN(株価データサンプル!AQ5/株価データサンプル!AP5)</f>
        <v>2.9964322964493591E-2</v>
      </c>
      <c r="AP3">
        <f>LN(株価データサンプル!AR5/株価データサンプル!AQ5)</f>
        <v>6.335886922784828E-2</v>
      </c>
      <c r="AQ3">
        <f>LN(株価データサンプル!AS5/株価データサンプル!AR5)</f>
        <v>4.9129538738207738E-2</v>
      </c>
      <c r="AR3">
        <f>LN(株価データサンプル!AT5/株価データサンプル!AS5)</f>
        <v>6.3915790065407749E-2</v>
      </c>
      <c r="AS3">
        <f>LN(株価データサンプル!AU5/株価データサンプル!AT5)</f>
        <v>-2.1378979467621125E-2</v>
      </c>
      <c r="AT3">
        <f>LN(株価データサンプル!AV5/株価データサンプル!AU5)</f>
        <v>6.7137940514977484E-2</v>
      </c>
      <c r="AU3">
        <f>LN(株価データサンプル!AW5/株価データサンプル!AV5)</f>
        <v>-5.4094058633813499E-3</v>
      </c>
      <c r="AV3">
        <f>LN(株価データサンプル!AX5/株価データサンプル!AW5)</f>
        <v>3.0113980247782949E-2</v>
      </c>
      <c r="AW3">
        <f>LN(株価データサンプル!AY5/株価データサンプル!AX5)</f>
        <v>-1.4943637931067195E-2</v>
      </c>
      <c r="AX3">
        <f>LN(株価データサンプル!AZ5/株価データサンプル!AY5)</f>
        <v>-1.369214544740471E-2</v>
      </c>
      <c r="AY3">
        <f>LN(株価データサンプル!BA5/株価データサンプル!AZ5)</f>
        <v>5.4144960610307963E-2</v>
      </c>
      <c r="AZ3">
        <f>LN(株価データサンプル!BB5/株価データサンプル!BA5)</f>
        <v>1.8484814674103161E-2</v>
      </c>
      <c r="BA3">
        <f>LN(株価データサンプル!BC5/株価データサンプル!BB5)</f>
        <v>3.6563112031104792E-3</v>
      </c>
      <c r="BB3">
        <f>LN(株価データサンプル!BD5/株価データサンプル!BC5)</f>
        <v>1.8231545615151783E-3</v>
      </c>
      <c r="BC3">
        <f>LN(株価データサンプル!BE5/株価データサンプル!BD5)</f>
        <v>-0.11655428268589056</v>
      </c>
      <c r="BD3">
        <f>LN(株価データサンプル!BF5/株価データサンプル!BE5)</f>
        <v>-2.8545194134678584E-2</v>
      </c>
      <c r="BE3">
        <f>LN(株価データサンプル!BG5/株価データサンプル!BF5)</f>
        <v>1.3076184016446437E-2</v>
      </c>
      <c r="BF3">
        <f>LN(株価データサンプル!BH5/株価データサンプル!BG5)</f>
        <v>9.8686872536530842E-2</v>
      </c>
      <c r="BG3">
        <f>LN(株価データサンプル!BI5/株価データサンプル!BH5)</f>
        <v>-3.0177314489379038E-3</v>
      </c>
      <c r="BH3">
        <f>LN(株価データサンプル!BJ5/株価データサンプル!BI5)</f>
        <v>3.1057819365107226E-2</v>
      </c>
      <c r="BI3">
        <f>LN(株価データサンプル!BK5/株価データサンプル!BJ5)</f>
        <v>-5.9606553884003773E-2</v>
      </c>
      <c r="BK3">
        <f t="shared" si="0"/>
        <v>1.6734290773730818E-3</v>
      </c>
      <c r="BL3">
        <f t="shared" si="1"/>
        <v>5.393602175854631E-2</v>
      </c>
    </row>
    <row r="4" spans="1:64">
      <c r="A4" t="str">
        <f>株価データサンプル!A6</f>
        <v>綜合警備保障</v>
      </c>
      <c r="B4">
        <f>LN(株価データサンプル!D6/株価データサンプル!C6)</f>
        <v>3.9626200757674798E-2</v>
      </c>
      <c r="C4">
        <f>LN(株価データサンプル!E6/株価データサンプル!D6)</f>
        <v>-3.611742522799552E-2</v>
      </c>
      <c r="D4">
        <f>LN(株価データサンプル!F6/株価データサンプル!E6)</f>
        <v>-0.12283078038065035</v>
      </c>
      <c r="E4">
        <f>LN(株価データサンプル!G6/株価データサンプル!F6)</f>
        <v>4.0742783462350073E-2</v>
      </c>
      <c r="F4">
        <f>LN(株価データサンプル!H6/株価データサンプル!G6)</f>
        <v>-1.7258338229280711E-2</v>
      </c>
      <c r="G4">
        <f>LN(株価データサンプル!I6/株価データサンプル!H6)</f>
        <v>2.4834132037738394E-2</v>
      </c>
      <c r="H4">
        <f>LN(株価データサンプル!J6/株価データサンプル!I6)</f>
        <v>-5.4276886854438308E-2</v>
      </c>
      <c r="I4">
        <f>LN(株価データサンプル!K6/株価データサンプル!J6)</f>
        <v>-1.1016636206501902E-2</v>
      </c>
      <c r="J4">
        <f>LN(株価データサンプル!L6/株価データサンプル!K6)</f>
        <v>-2.0161297151845485E-3</v>
      </c>
      <c r="K4">
        <f>LN(株価データサンプル!M6/株価データサンプル!L6)</f>
        <v>9.0407446521490239E-3</v>
      </c>
      <c r="L4">
        <f>LN(株価データサンプル!N6/株価データサンプル!M6)</f>
        <v>-2.9428810690812168E-2</v>
      </c>
      <c r="M4">
        <f>LN(株価データサンプル!O6/株価データサンプル!N6)</f>
        <v>0.14097018542371959</v>
      </c>
      <c r="N4">
        <f>LN(株価データサンプル!P6/株価データサンプル!O6)</f>
        <v>-4.3882726259092557E-2</v>
      </c>
      <c r="O4">
        <f>LN(株価データサンプル!Q6/株価データサンプル!P6)</f>
        <v>-3.8099846232270404E-2</v>
      </c>
      <c r="P4">
        <f>LN(株価データサンプル!R6/株価データサンプル!Q6)</f>
        <v>-7.0380796761799494E-2</v>
      </c>
      <c r="Q4">
        <f>LN(株価データサンプル!S6/株価データサンプル!R6)</f>
        <v>8.5795360162986306E-2</v>
      </c>
      <c r="R4">
        <f>LN(株価データサンプル!T6/株価データサンプル!S6)</f>
        <v>-8.7880866654007697E-2</v>
      </c>
      <c r="S4">
        <f>LN(株価データサンプル!U6/株価データサンプル!T6)</f>
        <v>4.4905503673949639E-2</v>
      </c>
      <c r="T4">
        <f>LN(株価データサンプル!V6/株価データサンプル!U6)</f>
        <v>9.9305682026007876E-3</v>
      </c>
      <c r="U4">
        <f>LN(株価データサンプル!W6/株価データサンプル!V6)</f>
        <v>9.8329209162388333E-3</v>
      </c>
      <c r="V4">
        <f>LN(株価データサンプル!X6/株価データサンプル!W6)</f>
        <v>-2.4766000801811384E-2</v>
      </c>
      <c r="W4">
        <f>LN(株価データサンプル!Y6/株価データサンプル!X6)</f>
        <v>1.2954839873466732E-2</v>
      </c>
      <c r="X4">
        <f>LN(株価データサンプル!Z6/株価データサンプル!Y6)</f>
        <v>-3.8349805374866097E-2</v>
      </c>
      <c r="Y4">
        <f>LN(株価データサンプル!AA6/株価データサンプル!Z6)</f>
        <v>-4.1237171838620409E-3</v>
      </c>
      <c r="Z4">
        <f>LN(株価データサンプル!AB6/株価データサンプル!AA6)</f>
        <v>-5.7401515822426988E-2</v>
      </c>
      <c r="AA4">
        <f>LN(株価データサンプル!AC6/株価データサンプル!AB6)</f>
        <v>-9.520077659870177E-2</v>
      </c>
      <c r="AB4">
        <f>LN(株価データサンプル!AD6/株価データサンプル!AC6)</f>
        <v>-3.6166404701885504E-3</v>
      </c>
      <c r="AC4">
        <f>LN(株価データサンプル!AE6/株価データサンプル!AD6)</f>
        <v>-3.4401426717332435E-2</v>
      </c>
      <c r="AD4">
        <f>LN(株価データサンプル!AF6/株価データサンプル!AE6)</f>
        <v>-9.9820335282210904E-2</v>
      </c>
      <c r="AE4">
        <f>LN(株価データサンプル!AG6/株価データサンプル!AF6)</f>
        <v>-1.5309971971420418E-2</v>
      </c>
      <c r="AF4">
        <f>LN(株価データサンプル!AH6/株価データサンプル!AG6)</f>
        <v>5.5910947593660158E-2</v>
      </c>
      <c r="AG4">
        <f>LN(株価データサンプル!AI6/株価データサンプル!AH6)</f>
        <v>-1.3351333174864225E-2</v>
      </c>
      <c r="AH4">
        <f>LN(株価データサンプル!AJ6/株価データサンプル!AI6)</f>
        <v>-2.8631812674327153E-2</v>
      </c>
      <c r="AI4">
        <f>LN(株価データサンプル!AK6/株価データサンプル!AJ6)</f>
        <v>6.8918260379212583E-3</v>
      </c>
      <c r="AJ4">
        <f>LN(株価データサンプル!AL6/株価データサンプル!AK6)</f>
        <v>1.9048194970694411E-2</v>
      </c>
      <c r="AK4">
        <f>LN(株価データサンプル!AM6/株価データサンプル!AL6)</f>
        <v>4.0349752121790821E-3</v>
      </c>
      <c r="AL4">
        <f>LN(株価データサンプル!AN6/株価データサンプル!AM6)</f>
        <v>-3.5522860658512866E-2</v>
      </c>
      <c r="AM4">
        <f>LN(株価データサンプル!AO6/株価データサンプル!AN6)</f>
        <v>-6.9783953814622577E-3</v>
      </c>
      <c r="AN4">
        <f>LN(株価データサンプル!AP6/株価データサンプル!AO6)</f>
        <v>1.3995803544232636E-3</v>
      </c>
      <c r="AO4">
        <f>LN(株価データサンプル!AQ6/株価データサンプル!AP6)</f>
        <v>-2.8011222797116675E-3</v>
      </c>
      <c r="AP4">
        <f>LN(株価データサンプル!AR6/株価データサンプル!AQ6)</f>
        <v>6.252035698133393E-2</v>
      </c>
      <c r="AQ4">
        <f>LN(株価データサンプル!AS6/株価データサンプル!AR6)</f>
        <v>3.4955015033576634E-2</v>
      </c>
      <c r="AR4">
        <f>LN(株価データサンプル!AT6/株価データサンプル!AS6)</f>
        <v>3.5249243639671982E-2</v>
      </c>
      <c r="AS4">
        <f>LN(株価データサンプル!AU6/株価データサンプル!AT6)</f>
        <v>6.4676684031843082E-2</v>
      </c>
      <c r="AT4">
        <f>LN(株価データサンプル!AV6/株価データサンプル!AU6)</f>
        <v>6.6903038681241186E-2</v>
      </c>
      <c r="AU4">
        <f>LN(株価データサンプル!AW6/株価データサンプル!AV6)</f>
        <v>-2.8949533807667148E-2</v>
      </c>
      <c r="AV4">
        <f>LN(株価データサンプル!AX6/株価データサンプル!AW6)</f>
        <v>-2.3097786575645565E-2</v>
      </c>
      <c r="AW4">
        <f>LN(株価データサンプル!AY6/株価データサンプル!AX6)</f>
        <v>-2.8533919265111122E-2</v>
      </c>
      <c r="AX4">
        <f>LN(株価データサンプル!AZ6/株価データサンプル!AY6)</f>
        <v>-5.4689886296620215E-2</v>
      </c>
      <c r="AY4">
        <f>LN(株価データサンプル!BA6/株価データサンプル!AZ6)</f>
        <v>-5.5627808939900545E-3</v>
      </c>
      <c r="AZ4">
        <f>LN(株価データサンプル!BB6/株価データサンプル!BA6)</f>
        <v>2.8835229325056159E-2</v>
      </c>
      <c r="BA4">
        <f>LN(株価データサンプル!BC6/株価データサンプル!BB6)</f>
        <v>1.9251600218570418E-3</v>
      </c>
      <c r="BB4">
        <f>LN(株価データサンプル!BD6/株価データサンプル!BC6)</f>
        <v>5.3478667671178558E-2</v>
      </c>
      <c r="BC4">
        <f>LN(株価データサンプル!BE6/株価データサンプル!BD6)</f>
        <v>7.5474403703156556E-2</v>
      </c>
      <c r="BD4">
        <f>LN(株価データサンプル!BF6/株価データサンプル!BE6)</f>
        <v>-7.2110598794192507E-3</v>
      </c>
      <c r="BE4">
        <f>LN(株価データサンプル!BG6/株価データサンプル!BF6)</f>
        <v>3.0603939454124783E-2</v>
      </c>
      <c r="BF4">
        <f>LN(株価データサンプル!BH6/株価データサンプル!BG6)</f>
        <v>6.3680132596305283E-2</v>
      </c>
      <c r="BG4">
        <f>LN(株価データサンプル!BI6/株価データサンプル!BH6)</f>
        <v>2.4183808642816527E-3</v>
      </c>
      <c r="BH4">
        <f>LN(株価データサンプル!BJ6/株価データサンプル!BI6)</f>
        <v>2.7633964202120279E-2</v>
      </c>
      <c r="BI4">
        <f>LN(株価データサンプル!BK6/株価データサンプル!BJ6)</f>
        <v>3.2820140093226272E-2</v>
      </c>
      <c r="BK4">
        <f t="shared" si="0"/>
        <v>-5.7361341152433322E-4</v>
      </c>
      <c r="BL4">
        <f t="shared" si="1"/>
        <v>4.8036471066816307E-2</v>
      </c>
    </row>
    <row r="5" spans="1:64">
      <c r="A5" t="str">
        <f>株価データサンプル!A7</f>
        <v>味の素</v>
      </c>
      <c r="B5">
        <f>LN(株価データサンプル!D7/株価データサンプル!C7)</f>
        <v>-4.9464239353255741E-3</v>
      </c>
      <c r="C5">
        <f>LN(株価データサンプル!E7/株価データサンプル!D7)</f>
        <v>-5.5248759319698037E-3</v>
      </c>
      <c r="D5">
        <f>LN(株価データサンプル!F7/株価データサンプル!E7)</f>
        <v>3.8706158359432634E-3</v>
      </c>
      <c r="E5">
        <f>LN(株価データサンプル!G7/株価データサンプル!F7)</f>
        <v>0.103952239734404</v>
      </c>
      <c r="F5">
        <f>LN(株価データサンプル!H7/株価データサンプル!G7)</f>
        <v>-4.8143767806522804E-2</v>
      </c>
      <c r="G5">
        <f>LN(株価データサンプル!I7/株価データサンプル!H7)</f>
        <v>-4.2105873315680206E-2</v>
      </c>
      <c r="H5">
        <f>LN(株価データサンプル!J7/株価データサンプル!I7)</f>
        <v>-2.4801491680249831E-2</v>
      </c>
      <c r="I5">
        <f>LN(株価データサンプル!K7/株価データサンプル!J7)</f>
        <v>6.062462181643484E-2</v>
      </c>
      <c r="J5">
        <f>LN(株価データサンプル!L7/株価データサンプル!K7)</f>
        <v>3.7117662956502588E-2</v>
      </c>
      <c r="K5">
        <f>LN(株価データサンプル!M7/株価データサンプル!L7)</f>
        <v>8.8570552206994155E-2</v>
      </c>
      <c r="L5">
        <f>LN(株価データサンプル!N7/株価データサンプル!M7)</f>
        <v>-2.8898992173446145E-2</v>
      </c>
      <c r="M5">
        <f>LN(株価データサンプル!O7/株価データサンプル!N7)</f>
        <v>3.8808048941459866E-2</v>
      </c>
      <c r="N5">
        <f>LN(株価データサンプル!P7/株価データサンプル!O7)</f>
        <v>6.9527773880020863E-2</v>
      </c>
      <c r="O5">
        <f>LN(株価データサンプル!Q7/株価データサンプル!P7)</f>
        <v>5.6350006358574047E-2</v>
      </c>
      <c r="P5">
        <f>LN(株価データサンプル!R7/株価データサンプル!Q7)</f>
        <v>-0.15448770925311708</v>
      </c>
      <c r="Q5">
        <f>LN(株価データサンプル!S7/株価データサンプル!R7)</f>
        <v>6.6851205838893729E-2</v>
      </c>
      <c r="R5">
        <f>LN(株価データサンプル!T7/株価データサンプル!S7)</f>
        <v>-3.5493393254217583E-2</v>
      </c>
      <c r="S5">
        <f>LN(株価データサンプル!U7/株価データサンプル!T7)</f>
        <v>0.14036824696735575</v>
      </c>
      <c r="T5">
        <f>LN(株価データサンプル!V7/株価データサンプル!U7)</f>
        <v>0.13650788058450863</v>
      </c>
      <c r="U5">
        <f>LN(株価データサンプル!W7/株価データサンプル!V7)</f>
        <v>-3.4571344065088667E-2</v>
      </c>
      <c r="V5">
        <f>LN(株価データサンプル!X7/株価データサンプル!W7)</f>
        <v>0.15220026089555261</v>
      </c>
      <c r="W5">
        <f>LN(株価データサンプル!Y7/株価データサンプル!X7)</f>
        <v>1.8931863145665844E-2</v>
      </c>
      <c r="X5">
        <f>LN(株価データサンプル!Z7/株価データサンプル!Y7)</f>
        <v>2.9799582841664111E-2</v>
      </c>
      <c r="Y5">
        <f>LN(株価データサンプル!AA7/株価データサンプル!Z7)</f>
        <v>2.9355643833288658E-4</v>
      </c>
      <c r="Z5">
        <f>LN(株価データサンプル!AB7/株価データサンプル!AA7)</f>
        <v>2.6073319402409215E-2</v>
      </c>
      <c r="AA5">
        <f>LN(株価データサンプル!AC7/株価データサンプル!AB7)</f>
        <v>-9.0944544348593837E-2</v>
      </c>
      <c r="AB5">
        <f>LN(株価データサンプル!AD7/株価データサンプル!AC7)</f>
        <v>4.4710447228872539E-2</v>
      </c>
      <c r="AC5">
        <f>LN(株価データサンプル!AE7/株価データサンプル!AD7)</f>
        <v>3.992311805523803E-2</v>
      </c>
      <c r="AD5">
        <f>LN(株価データサンプル!AF7/株価データサンプル!AE7)</f>
        <v>-2.6240572652517155E-2</v>
      </c>
      <c r="AE5">
        <f>LN(株価データサンプル!AG7/株価データサンプル!AF7)</f>
        <v>-7.7043762430409168E-2</v>
      </c>
      <c r="AF5">
        <f>LN(株価データサンプル!AH7/株価データサンプル!AG7)</f>
        <v>5.1612324538605509E-2</v>
      </c>
      <c r="AG5">
        <f>LN(株価データサンプル!AI7/株価データサンプル!AH7)</f>
        <v>5.8268908123975824E-2</v>
      </c>
      <c r="AH5">
        <f>LN(株価データサンプル!AJ7/株価データサンプル!AI7)</f>
        <v>9.8734840685689051E-2</v>
      </c>
      <c r="AI5">
        <f>LN(株価データサンプル!AK7/株価データサンプル!AJ7)</f>
        <v>2.5822730994259826E-2</v>
      </c>
      <c r="AJ5">
        <f>LN(株価データサンプル!AL7/株価データサンプル!AK7)</f>
        <v>3.3261939460847462E-2</v>
      </c>
      <c r="AK5">
        <f>LN(株価データサンプル!AM7/株価データサンプル!AL7)</f>
        <v>5.6710722495298516E-2</v>
      </c>
      <c r="AL5">
        <f>LN(株価データサンプル!AN7/株価データサンプル!AM7)</f>
        <v>-7.2707126097476482E-2</v>
      </c>
      <c r="AM5">
        <f>LN(株価データサンプル!AO7/株価データサンプル!AN7)</f>
        <v>5.8301672526859069E-2</v>
      </c>
      <c r="AN5">
        <f>LN(株価データサンプル!AP7/株価データサンプル!AO7)</f>
        <v>-6.1531890269145233E-2</v>
      </c>
      <c r="AO5">
        <f>LN(株価データサンプル!AQ7/株価データサンプル!AP7)</f>
        <v>0.1365755350057507</v>
      </c>
      <c r="AP5">
        <f>LN(株価データサンプル!AR7/株価データサンプル!AQ7)</f>
        <v>5.8809484096252536E-2</v>
      </c>
      <c r="AQ5">
        <f>LN(株価データサンプル!AS7/株価データサンプル!AR7)</f>
        <v>0.10411101478345502</v>
      </c>
      <c r="AR5">
        <f>LN(株価データサンプル!AT7/株価データサンプル!AS7)</f>
        <v>5.4387561416003372E-2</v>
      </c>
      <c r="AS5">
        <f>LN(株価データサンプル!AU7/株価データサンプル!AT7)</f>
        <v>-3.3215023853374374E-2</v>
      </c>
      <c r="AT5">
        <f>LN(株価データサンプル!AV7/株価データサンプル!AU7)</f>
        <v>0.10873210557092876</v>
      </c>
      <c r="AU5">
        <f>LN(株価データサンプル!AW7/株価データサンプル!AV7)</f>
        <v>-6.855326527448323E-2</v>
      </c>
      <c r="AV5">
        <f>LN(株価データサンプル!AX7/株価データサンプル!AW7)</f>
        <v>-5.0526577177351512E-2</v>
      </c>
      <c r="AW5">
        <f>LN(株価データサンプル!AY7/株価データサンプル!AX7)</f>
        <v>8.3591255413007336E-3</v>
      </c>
      <c r="AX5">
        <f>LN(株価データサンプル!AZ7/株価データサンプル!AY7)</f>
        <v>-1.5685165633373542E-2</v>
      </c>
      <c r="AY5">
        <f>LN(株価データサンプル!BA7/株価データサンプル!AZ7)</f>
        <v>0.11237628864393609</v>
      </c>
      <c r="AZ5">
        <f>LN(株価データサンプル!BB7/株価データサンプル!BA7)</f>
        <v>-0.10086195143416561</v>
      </c>
      <c r="BA5">
        <f>LN(株価データサンプル!BC7/株価データサンプル!BB7)</f>
        <v>2.8130494137469726E-2</v>
      </c>
      <c r="BB5">
        <f>LN(株価データサンプル!BD7/株価データサンプル!BC7)</f>
        <v>3.7282167815131141E-2</v>
      </c>
      <c r="BC5">
        <f>LN(株価データサンプル!BE7/株価データサンプル!BD7)</f>
        <v>-4.7047003506099451E-2</v>
      </c>
      <c r="BD5">
        <f>LN(株価データサンプル!BF7/株価データサンプル!BE7)</f>
        <v>6.402298233715735E-3</v>
      </c>
      <c r="BE5">
        <f>LN(株価データサンプル!BG7/株価データサンプル!BF7)</f>
        <v>9.9475478804245829E-2</v>
      </c>
      <c r="BF5">
        <f>LN(株価データサンプル!BH7/株価データサンプル!BG7)</f>
        <v>-0.10730609365286242</v>
      </c>
      <c r="BG5">
        <f>LN(株価データサンプル!BI7/株価データサンプル!BH7)</f>
        <v>-9.153792715636249E-3</v>
      </c>
      <c r="BH5">
        <f>LN(株価データサンプル!BJ7/株価データサンプル!BI7)</f>
        <v>6.2553140104585084E-2</v>
      </c>
      <c r="BI5">
        <f>LN(株価データサンプル!BK7/株価データサンプル!BJ7)</f>
        <v>5.7751056620703192E-2</v>
      </c>
      <c r="BK5">
        <f t="shared" si="0"/>
        <v>2.0539154204445572E-2</v>
      </c>
      <c r="BL5">
        <f t="shared" si="1"/>
        <v>6.7314793497423725E-2</v>
      </c>
    </row>
    <row r="6" spans="1:64">
      <c r="A6" t="str">
        <f>株価データサンプル!A8</f>
        <v>サンフロンティア不動産</v>
      </c>
      <c r="B6">
        <f>LN(株価データサンプル!D8/株価データサンプル!C8)</f>
        <v>2.3967130972419832E-2</v>
      </c>
      <c r="C6">
        <f>LN(株価データサンプル!E8/株価データサンプル!D8)</f>
        <v>-6.0624621816434854E-2</v>
      </c>
      <c r="D6">
        <f>LN(株価データサンプル!F8/株価データサンプル!E8)</f>
        <v>-0.1437878927917117</v>
      </c>
      <c r="E6">
        <f>LN(株価データサンプル!G8/株価データサンプル!F8)</f>
        <v>-0.26330191104345457</v>
      </c>
      <c r="F6">
        <f>LN(株価データサンプル!H8/株価データサンプル!G8)</f>
        <v>6.1485083650680887E-2</v>
      </c>
      <c r="G6">
        <f>LN(株価データサンプル!I8/株価データサンプル!H8)</f>
        <v>7.7215850667383443E-2</v>
      </c>
      <c r="H6">
        <f>LN(株価データサンプル!J8/株価データサンプル!I8)</f>
        <v>-9.8074080787793172E-2</v>
      </c>
      <c r="I6">
        <f>LN(株価データサンプル!K8/株価データサンプル!J8)</f>
        <v>-4.7970827786029617E-2</v>
      </c>
      <c r="J6">
        <f>LN(株価データサンプル!L8/株価データサンプル!K8)</f>
        <v>2.453988961566787E-3</v>
      </c>
      <c r="K6">
        <f>LN(株価データサンプル!M8/株価データサンプル!L8)</f>
        <v>7.4370542721069938E-2</v>
      </c>
      <c r="L6">
        <f>LN(株価データサンプル!N8/株価データサンプル!M8)</f>
        <v>-4.8960827195701724E-2</v>
      </c>
      <c r="M6">
        <f>LN(株価データサンプル!O8/株価データサンプル!N8)</f>
        <v>9.5635965765831582E-2</v>
      </c>
      <c r="N6">
        <f>LN(株価データサンプル!P8/株価データサンプル!O8)</f>
        <v>-3.1993903675297482E-2</v>
      </c>
      <c r="O6">
        <f>LN(株価データサンプル!Q8/株価データサンプル!P8)</f>
        <v>-1.4681234894832366E-2</v>
      </c>
      <c r="P6">
        <f>LN(株価データサンプル!R8/株価データサンプル!Q8)</f>
        <v>7.9780137106188365E-2</v>
      </c>
      <c r="Q6">
        <f>LN(株価データサンプル!S8/株価データサンプル!R8)</f>
        <v>1.5633460661928958E-2</v>
      </c>
      <c r="R6">
        <f>LN(株価データサンプル!T8/株価データサンプル!S8)</f>
        <v>-1.4583591799092233E-2</v>
      </c>
      <c r="S6">
        <f>LN(株価データサンプル!U8/株価データサンプル!T8)</f>
        <v>-3.3069680097608342E-2</v>
      </c>
      <c r="T6">
        <f>LN(株価データサンプル!V8/株価データサンプル!U8)</f>
        <v>0.12618342106827443</v>
      </c>
      <c r="U6">
        <f>LN(株価データサンプル!W8/株価データサンプル!V8)</f>
        <v>-1.5414563401186731E-2</v>
      </c>
      <c r="V6">
        <f>LN(株価データサンプル!X8/株価データサンプル!W8)</f>
        <v>0.10497209071606167</v>
      </c>
      <c r="W6">
        <f>LN(株価データサンプル!Y8/株価データサンプル!X8)</f>
        <v>-2.1202207650602937E-2</v>
      </c>
      <c r="X6">
        <f>LN(株価データサンプル!Z8/株価データサンプル!Y8)</f>
        <v>-5.1293294387550578E-2</v>
      </c>
      <c r="Y6">
        <f>LN(株価データサンプル!AA8/株価データサンプル!Z8)</f>
        <v>-0.10494289193072916</v>
      </c>
      <c r="Z6">
        <f>LN(株価データサンプル!AB8/株価データサンプル!AA8)</f>
        <v>4.590300999107505E-2</v>
      </c>
      <c r="AA6">
        <f>LN(株価データサンプル!AC8/株価データサンプル!AB8)</f>
        <v>3.1405917737533845E-2</v>
      </c>
      <c r="AB6">
        <f>LN(株価データサンプル!AD8/株価データサンプル!AC8)</f>
        <v>3.6988569369340626E-2</v>
      </c>
      <c r="AC6">
        <f>LN(株価データサンプル!AE8/株価データサンプル!AD8)</f>
        <v>-2.2599831917240919E-2</v>
      </c>
      <c r="AD6">
        <f>LN(株価データサンプル!AF8/株価データサンプル!AE8)</f>
        <v>3.3711057342311661E-2</v>
      </c>
      <c r="AE6">
        <f>LN(株価データサンプル!AG8/株価データサンプル!AF8)</f>
        <v>-3.0857988359905223E-2</v>
      </c>
      <c r="AF6">
        <f>LN(株価データサンプル!AH8/株価データサンプル!AG8)</f>
        <v>5.9898141581069014E-2</v>
      </c>
      <c r="AG6">
        <f>LN(株価データサンプル!AI8/株価データサンプル!AH8)</f>
        <v>-4.4823024394996117E-3</v>
      </c>
      <c r="AH6">
        <f>LN(株価データサンプル!AJ8/株価データサンプル!AI8)</f>
        <v>7.7759364699134123E-2</v>
      </c>
      <c r="AI6">
        <f>LN(株価データサンプル!AK8/株価データサンプル!AJ8)</f>
        <v>-7.1489751685538602E-2</v>
      </c>
      <c r="AJ6">
        <f>LN(株価データサンプル!AL8/株価データサンプル!AK8)</f>
        <v>2.5563313559615473E-2</v>
      </c>
      <c r="AK6">
        <f>LN(株価データサンプル!AM8/株価データサンプル!AL8)</f>
        <v>1.981969228820216E-2</v>
      </c>
      <c r="AL6">
        <f>LN(株価データサンプル!AN8/株価データサンプル!AM8)</f>
        <v>-6.2492833414277915E-2</v>
      </c>
      <c r="AM6">
        <f>LN(株価データサンプル!AO8/株価データサンプル!AN8)</f>
        <v>1.4427662346520738E-2</v>
      </c>
      <c r="AN6">
        <f>LN(株価データサンプル!AP8/株価データサンプル!AO8)</f>
        <v>0.1012338389484353</v>
      </c>
      <c r="AO6">
        <f>LN(株価データサンプル!AQ8/株価データサンプル!AP8)</f>
        <v>3.5760663879098258E-2</v>
      </c>
      <c r="AP6">
        <f>LN(株価データサンプル!AR8/株価データサンプル!AQ8)</f>
        <v>2.6955809988528295E-2</v>
      </c>
      <c r="AQ6">
        <f>LN(株価データサンプル!AS8/株価データサンプル!AR8)</f>
        <v>1.5186031771900596E-3</v>
      </c>
      <c r="AR6">
        <f>LN(株価データサンプル!AT8/株価データサンプル!AS8)</f>
        <v>7.94589024143839E-2</v>
      </c>
      <c r="AS6">
        <f>LN(株価データサンプル!AU8/株価データサンプル!AT8)</f>
        <v>5.5209931091064875E-2</v>
      </c>
      <c r="AT6">
        <f>LN(株価データサンプル!AV8/株価データサンプル!AU8)</f>
        <v>-4.3367229115129836E-2</v>
      </c>
      <c r="AU6">
        <f>LN(株価データサンプル!AW8/株価データサンプル!AV8)</f>
        <v>4.2040088907067272E-2</v>
      </c>
      <c r="AV6">
        <f>LN(株価データサンプル!AX8/株価データサンプル!AW8)</f>
        <v>-3.3764179603207579E-2</v>
      </c>
      <c r="AW6">
        <f>LN(株価データサンプル!AY8/株価データサンプル!AX8)</f>
        <v>6.8992871486951421E-2</v>
      </c>
      <c r="AX6">
        <f>LN(株価データサンプル!AZ8/株価データサンプル!AY8)</f>
        <v>4.5732992726882436E-2</v>
      </c>
      <c r="AY6">
        <f>LN(株価データサンプル!BA8/株価データサンプル!AZ8)</f>
        <v>8.2818069899059724E-2</v>
      </c>
      <c r="AZ6">
        <f>LN(株価データサンプル!BB8/株価データサンプル!BA8)</f>
        <v>-6.6419281518935891E-2</v>
      </c>
      <c r="BA6">
        <f>LN(株価データサンプル!BC8/株価データサンプル!BB8)</f>
        <v>0.16663694484575736</v>
      </c>
      <c r="BB6">
        <f>LN(株価データサンプル!BD8/株価データサンプル!BC8)</f>
        <v>2.037698107015319E-3</v>
      </c>
      <c r="BC6">
        <f>LN(株価データサンプル!BE8/株価データサンプル!BD8)</f>
        <v>-7.6628727455691371E-3</v>
      </c>
      <c r="BD6">
        <f>LN(株価データサンプル!BF8/株価データサンプル!BE8)</f>
        <v>3.2293421720715088E-2</v>
      </c>
      <c r="BE6">
        <f>LN(株価データサンプル!BG8/株価データサンプル!BF8)</f>
        <v>2.1611843115487341E-2</v>
      </c>
      <c r="BF6">
        <f>LN(株価データサンプル!BH8/株価データサンプル!BG8)</f>
        <v>-0.11360083117886922</v>
      </c>
      <c r="BG6">
        <f>LN(株価データサンプル!BI8/株価データサンプル!BH8)</f>
        <v>-4.3957006970003328E-2</v>
      </c>
      <c r="BH6">
        <f>LN(株価データサンプル!BJ8/株価データサンプル!BI8)</f>
        <v>4.1777169594582782E-2</v>
      </c>
      <c r="BI6">
        <f>LN(株価データサンプル!BK8/株価データサンプル!BJ8)</f>
        <v>2.5317807984289786E-2</v>
      </c>
      <c r="BK6">
        <f t="shared" si="0"/>
        <v>6.4329236814419186E-3</v>
      </c>
      <c r="BL6">
        <f t="shared" si="1"/>
        <v>7.0594850634366754E-2</v>
      </c>
    </row>
    <row r="7" spans="1:64">
      <c r="A7" t="str">
        <f>株価データサンプル!A9</f>
        <v>応用地質</v>
      </c>
      <c r="B7">
        <f>LN(株価データサンプル!D9/株価データサンプル!C9)</f>
        <v>9.1002922606744599E-2</v>
      </c>
      <c r="C7">
        <f>LN(株価データサンプル!E9/株価データサンプル!D9)</f>
        <v>-8.9571283135306767E-2</v>
      </c>
      <c r="D7">
        <f>LN(株価データサンプル!F9/株価データサンプル!E9)</f>
        <v>-0.11671064949463078</v>
      </c>
      <c r="E7">
        <f>LN(株価データサンプル!G9/株価データサンプル!F9)</f>
        <v>-1.2131163733089978E-2</v>
      </c>
      <c r="F7">
        <f>LN(株価データサンプル!H9/株価データサンプル!G9)</f>
        <v>3.5960726566073908E-2</v>
      </c>
      <c r="G7">
        <f>LN(株価データサンプル!I9/株価データサンプル!H9)</f>
        <v>5.2744360391128883E-2</v>
      </c>
      <c r="H7">
        <f>LN(株価データサンプル!J9/株価データサンプル!I9)</f>
        <v>4.7264340194750135E-2</v>
      </c>
      <c r="I7">
        <f>LN(株価データサンプル!K9/株価データサンプル!J9)</f>
        <v>-3.9845908547199674E-2</v>
      </c>
      <c r="J7">
        <f>LN(株価データサンプル!L9/株価データサンプル!K9)</f>
        <v>-0.10593553518326081</v>
      </c>
      <c r="K7">
        <f>LN(株価データサンプル!M9/株価データサンプル!L9)</f>
        <v>2.1943180311597636E-2</v>
      </c>
      <c r="L7">
        <f>LN(株価データサンプル!N9/株価データサンプル!M9)</f>
        <v>-3.9349338788547655E-2</v>
      </c>
      <c r="M7">
        <f>LN(株価データサンプル!O9/株価データサンプル!N9)</f>
        <v>1.5761421264071721E-2</v>
      </c>
      <c r="N7">
        <f>LN(株価データサンプル!P9/株価データサンプル!O9)</f>
        <v>8.1967672041784907E-3</v>
      </c>
      <c r="O7">
        <f>LN(株価データサンプル!Q9/株価データサンプル!P9)</f>
        <v>3.2131278182793196E-2</v>
      </c>
      <c r="P7">
        <f>LN(株価データサンプル!R9/株価データサンプル!Q9)</f>
        <v>-1.5936592262812639E-2</v>
      </c>
      <c r="Q7">
        <f>LN(株価データサンプル!S9/株価データサンプル!R9)</f>
        <v>3.7055875443739152E-2</v>
      </c>
      <c r="R7">
        <f>LN(株価データサンプル!T9/株価データサンプル!S9)</f>
        <v>1.1543029281674701E-2</v>
      </c>
      <c r="S7">
        <f>LN(株価データサンプル!U9/株価データサンプル!T9)</f>
        <v>-3.2662312462601338E-2</v>
      </c>
      <c r="T7">
        <f>LN(株価データサンプル!V9/株価データサンプル!U9)</f>
        <v>-1.2728891036042972E-2</v>
      </c>
      <c r="U7">
        <f>LN(株価データサンプル!W9/株価データサンプル!V9)</f>
        <v>3.1523492813609715E-2</v>
      </c>
      <c r="V7">
        <f>LN(株価データサンプル!X9/株価データサンプル!W9)</f>
        <v>3.9548880342491113E-2</v>
      </c>
      <c r="W7">
        <f>LN(株価データサンプル!Y9/株価データサンプル!X9)</f>
        <v>9.1166292892198811E-2</v>
      </c>
      <c r="X7">
        <f>LN(株価データサンプル!Z9/株価データサンプル!Y9)</f>
        <v>0.17102586934614361</v>
      </c>
      <c r="Y7">
        <f>LN(株価データサンプル!AA9/株価データサンプル!Z9)</f>
        <v>0.11886614875644022</v>
      </c>
      <c r="Z7">
        <f>LN(株価データサンプル!AB9/株価データサンプル!AA9)</f>
        <v>9.0993926845247458E-2</v>
      </c>
      <c r="AA7">
        <f>LN(株価データサンプル!AC9/株価データサンプル!AB9)</f>
        <v>-2.1152375005226681E-2</v>
      </c>
      <c r="AB7">
        <f>LN(株価データサンプル!AD9/株価データサンプル!AC9)</f>
        <v>-9.5466118835800008E-3</v>
      </c>
      <c r="AC7">
        <f>LN(株価データサンプル!AE9/株価データサンプル!AD9)</f>
        <v>0.10074556659610256</v>
      </c>
      <c r="AD7">
        <f>LN(株価データサンプル!AF9/株価データサンプル!AE9)</f>
        <v>-0.15191265413045341</v>
      </c>
      <c r="AE7">
        <f>LN(株価データサンプル!AG9/株価データサンプル!AF9)</f>
        <v>-0.13432495757617044</v>
      </c>
      <c r="AF7">
        <f>LN(株価データサンプル!AH9/株価データサンプル!AG9)</f>
        <v>-4.3664753427140192E-2</v>
      </c>
      <c r="AG7">
        <f>LN(株価データサンプル!AI9/株価データサンプル!AH9)</f>
        <v>6.4802358464544921E-2</v>
      </c>
      <c r="AH7">
        <f>LN(株価データサンプル!AJ9/株価データサンプル!AI9)</f>
        <v>4.8009219186360662E-2</v>
      </c>
      <c r="AI7">
        <f>LN(株価データサンプル!AK9/株価データサンプル!AJ9)</f>
        <v>6.4447054426419632E-3</v>
      </c>
      <c r="AJ7">
        <f>LN(株価データサンプル!AL9/株価データサンプル!AK9)</f>
        <v>0.19093885348918185</v>
      </c>
      <c r="AK7">
        <f>LN(株価データサンプル!AM9/株価データサンプル!AL9)</f>
        <v>-7.5776426837037045E-2</v>
      </c>
      <c r="AL7">
        <f>LN(株価データサンプル!AN9/株価データサンプル!AM9)</f>
        <v>8.502148498108808E-2</v>
      </c>
      <c r="AM7">
        <f>LN(株価データサンプル!AO9/株価データサンプル!AN9)</f>
        <v>-0.12195474002677052</v>
      </c>
      <c r="AN7">
        <f>LN(株価データサンプル!AP9/株価データサンプル!AO9)</f>
        <v>2.6381598394222217E-2</v>
      </c>
      <c r="AO7">
        <f>LN(株価データサンプル!AQ9/株価データサンプル!AP9)</f>
        <v>6.9828266581000276E-2</v>
      </c>
      <c r="AP7">
        <f>LN(株価データサンプル!AR9/株価データサンプル!AQ9)</f>
        <v>-8.5867492560628186E-2</v>
      </c>
      <c r="AQ7">
        <f>LN(株価データサンプル!AS9/株価データサンプル!AR9)</f>
        <v>-8.8036355354281948E-2</v>
      </c>
      <c r="AR7">
        <f>LN(株価データサンプル!AT9/株価データサンプル!AS9)</f>
        <v>7.0739161066318085E-2</v>
      </c>
      <c r="AS7">
        <f>LN(株価データサンプル!AU9/株価データサンプル!AT9)</f>
        <v>0.27084115664992942</v>
      </c>
      <c r="AT7">
        <f>LN(株価データサンプル!AV9/株価データサンプル!AU9)</f>
        <v>3.511754209759281E-2</v>
      </c>
      <c r="AU7">
        <f>LN(株価データサンプル!AW9/株価データサンプル!AV9)</f>
        <v>-8.861458374584516E-2</v>
      </c>
      <c r="AV7">
        <f>LN(株価データサンプル!AX9/株価データサンプル!AW9)</f>
        <v>-8.5808731023869336E-2</v>
      </c>
      <c r="AW7">
        <f>LN(株価データサンプル!AY9/株価データサンプル!AX9)</f>
        <v>-9.0035653071054988E-2</v>
      </c>
      <c r="AX7">
        <f>LN(株価データサンプル!AZ9/株価データサンプル!AY9)</f>
        <v>-1.8827493137973446E-2</v>
      </c>
      <c r="AY7">
        <f>LN(株価データサンプル!BA9/株価データサンプル!AZ9)</f>
        <v>6.2800901239030441E-2</v>
      </c>
      <c r="AZ7">
        <f>LN(株価データサンプル!BB9/株価データサンプル!BA9)</f>
        <v>2.7535027768697897E-2</v>
      </c>
      <c r="BA7">
        <f>LN(株価データサンプル!BC9/株価データサンプル!BB9)</f>
        <v>-1.2995925682076977E-2</v>
      </c>
      <c r="BB7">
        <f>LN(株価データサンプル!BD9/株価データサンプル!BC9)</f>
        <v>0.10359983259988109</v>
      </c>
      <c r="BC7">
        <f>LN(株価データサンプル!BE9/株価データサンプル!BD9)</f>
        <v>9.3497009776227866E-2</v>
      </c>
      <c r="BD7">
        <f>LN(株価データサンプル!BF9/株価データサンプル!BE9)</f>
        <v>4.3485111939738891E-2</v>
      </c>
      <c r="BE7">
        <f>LN(株価データサンプル!BG9/株価データサンプル!BF9)</f>
        <v>-0.11884743171217019</v>
      </c>
      <c r="BF7">
        <f>LN(株価データサンプル!BH9/株価データサンプル!BG9)</f>
        <v>4.9094392951820998E-2</v>
      </c>
      <c r="BG7">
        <f>LN(株価データサンプル!BI9/株価データサンプル!BH9)</f>
        <v>3.4383058039601046E-2</v>
      </c>
      <c r="BH7">
        <f>LN(株価データサンプル!BJ9/株価データサンプル!BI9)</f>
        <v>-6.2532207920224736E-2</v>
      </c>
      <c r="BI7">
        <f>LN(株価データサンプル!BK9/株価データサンプル!BJ9)</f>
        <v>-3.7048650637776279E-2</v>
      </c>
      <c r="BK7">
        <f t="shared" si="0"/>
        <v>9.4695840221848699E-3</v>
      </c>
      <c r="BL7">
        <f t="shared" si="1"/>
        <v>8.2711400844752647E-2</v>
      </c>
    </row>
    <row r="8" spans="1:64">
      <c r="A8" t="str">
        <f>株価データサンプル!A10</f>
        <v>建設技術研究所</v>
      </c>
      <c r="B8">
        <f>LN(株価データサンプル!D10/株価データサンプル!C10)</f>
        <v>0.1242196353949222</v>
      </c>
      <c r="C8">
        <f>LN(株価データサンプル!E10/株価データサンプル!D10)</f>
        <v>7.4581943250358662E-2</v>
      </c>
      <c r="D8">
        <f>LN(株価データサンプル!F10/株価データサンプル!E10)</f>
        <v>-0.30549899289794874</v>
      </c>
      <c r="E8">
        <f>LN(株価データサンプル!G10/株価データサンプル!F10)</f>
        <v>-6.8634598359574653E-2</v>
      </c>
      <c r="F8">
        <f>LN(株価データサンプル!H10/株価データサンプル!G10)</f>
        <v>4.7794643927930397E-2</v>
      </c>
      <c r="G8">
        <f>LN(株価データサンプル!I10/株価データサンプル!H10)</f>
        <v>5.6899005802505146E-4</v>
      </c>
      <c r="H8">
        <f>LN(株価データサンプル!J10/株価データサンプル!I10)</f>
        <v>-3.0025350193497839E-2</v>
      </c>
      <c r="I8">
        <f>LN(株価データサンプル!K10/株価データサンプル!J10)</f>
        <v>-2.7333846701035464E-2</v>
      </c>
      <c r="J8">
        <f>LN(株価データサンプル!L10/株価データサンプル!K10)</f>
        <v>0.10566167512403869</v>
      </c>
      <c r="K8">
        <f>LN(株価データサンプル!M10/株価データサンプル!L10)</f>
        <v>8.9131981479584316E-2</v>
      </c>
      <c r="L8">
        <f>LN(株価データサンプル!N10/株価データサンプル!M10)</f>
        <v>-5.8179670658062232E-2</v>
      </c>
      <c r="M8">
        <f>LN(株価データサンプル!O10/株価データサンプル!N10)</f>
        <v>0.10562322418422879</v>
      </c>
      <c r="N8">
        <f>LN(株価データサンプル!P10/株価データサンプル!O10)</f>
        <v>0.1184657550064844</v>
      </c>
      <c r="O8">
        <f>LN(株価データサンプル!Q10/株価データサンプル!P10)</f>
        <v>2.3247207138343363E-2</v>
      </c>
      <c r="P8">
        <f>LN(株価データサンプル!R10/株価データサンプル!Q10)</f>
        <v>-4.8769647350769232E-2</v>
      </c>
      <c r="Q8">
        <f>LN(株価データサンプル!S10/株価データサンプル!R10)</f>
        <v>8.2260774231031938E-2</v>
      </c>
      <c r="R8">
        <f>LN(株価データサンプル!T10/株価データサンプル!S10)</f>
        <v>-2.0040750883446153E-2</v>
      </c>
      <c r="S8">
        <f>LN(株価データサンプル!U10/株価データサンプル!T10)</f>
        <v>1.1272261063500122E-2</v>
      </c>
      <c r="T8">
        <f>LN(株価データサンプル!V10/株価データサンプル!U10)</f>
        <v>-9.5710580210074628E-2</v>
      </c>
      <c r="U8">
        <f>LN(株価データサンプル!W10/株価データサンプル!V10)</f>
        <v>2.6088436084297874E-2</v>
      </c>
      <c r="V8">
        <f>LN(株価データサンプル!X10/株価データサンプル!W10)</f>
        <v>5.6729137164543336E-2</v>
      </c>
      <c r="W8">
        <f>LN(株価データサンプル!Y10/株価データサンプル!X10)</f>
        <v>6.2483491301434491E-2</v>
      </c>
      <c r="X8">
        <f>LN(株価データサンプル!Z10/株価データサンプル!Y10)</f>
        <v>3.9586946447980914E-2</v>
      </c>
      <c r="Y8">
        <f>LN(株価データサンプル!AA10/株価データサンプル!Z10)</f>
        <v>-0.14431274294771615</v>
      </c>
      <c r="Z8">
        <f>LN(株価データサンプル!AB10/株価データサンプル!AA10)</f>
        <v>5.51353121595341E-2</v>
      </c>
      <c r="AA8">
        <f>LN(株価データサンプル!AC10/株価データサンプル!AB10)</f>
        <v>-4.5034216173030259E-2</v>
      </c>
      <c r="AB8">
        <f>LN(株価データサンプル!AD10/株価データサンプル!AC10)</f>
        <v>-5.0235932406934254E-2</v>
      </c>
      <c r="AC8">
        <f>LN(株価データサンプル!AE10/株価データサンプル!AD10)</f>
        <v>2.6385239581812421E-3</v>
      </c>
      <c r="AD8">
        <f>LN(株価データサンプル!AF10/株価データサンプル!AE10)</f>
        <v>3.069504712161151E-3</v>
      </c>
      <c r="AE8">
        <f>LN(株価データサンプル!AG10/株価データサンプル!AF10)</f>
        <v>7.9099247801680581E-2</v>
      </c>
      <c r="AF8">
        <f>LN(株価データサンプル!AH10/株価データサンプル!AG10)</f>
        <v>4.7787966961082957E-2</v>
      </c>
      <c r="AG8">
        <f>LN(株価データサンプル!AI10/株価データサンプル!AH10)</f>
        <v>4.7080809172424541E-2</v>
      </c>
      <c r="AH8">
        <f>LN(株価データサンプル!AJ10/株価データサンプル!AI10)</f>
        <v>-3.9397329190476511E-2</v>
      </c>
      <c r="AI8">
        <f>LN(株価データサンプル!AK10/株価データサンプル!AJ10)</f>
        <v>8.1895622131405707E-2</v>
      </c>
      <c r="AJ8">
        <f>LN(株価データサンプル!AL10/株価データサンプル!AK10)</f>
        <v>3.0215877459227828E-2</v>
      </c>
      <c r="AK8">
        <f>LN(株価データサンプル!AM10/株価データサンプル!AL10)</f>
        <v>0.10758178953142369</v>
      </c>
      <c r="AL8">
        <f>LN(株価データサンプル!AN10/株価データサンプル!AM10)</f>
        <v>-1.392133851860812E-2</v>
      </c>
      <c r="AM8">
        <f>LN(株価データサンプル!AO10/株価データサンプル!AN10)</f>
        <v>2.916553616172517E-2</v>
      </c>
      <c r="AN8">
        <f>LN(株価データサンプル!AP10/株価データサンプル!AO10)</f>
        <v>5.159582048273343E-2</v>
      </c>
      <c r="AO8">
        <f>LN(株価データサンプル!AQ10/株価データサンプル!AP10)</f>
        <v>-0.1417754623996047</v>
      </c>
      <c r="AP8">
        <f>LN(株価データサンプル!AR10/株価データサンプル!AQ10)</f>
        <v>8.8665637085656307E-2</v>
      </c>
      <c r="AQ8">
        <f>LN(株価データサンプル!AS10/株価データサンプル!AR10)</f>
        <v>1.2048338516174574E-2</v>
      </c>
      <c r="AR8">
        <f>LN(株価データサンプル!AT10/株価データサンプル!AS10)</f>
        <v>9.4220855077869911E-2</v>
      </c>
      <c r="AS8">
        <f>LN(株価データサンプル!AU10/株価データサンプル!AT10)</f>
        <v>-3.8893791121273516E-2</v>
      </c>
      <c r="AT8">
        <f>LN(株価データサンプル!AV10/株価データサンプル!AU10)</f>
        <v>0.22257681851354919</v>
      </c>
      <c r="AU8">
        <f>LN(株価データサンプル!AW10/株価データサンプル!AV10)</f>
        <v>1.9090978464829027E-2</v>
      </c>
      <c r="AV8">
        <f>LN(株価データサンプル!AX10/株価データサンプル!AW10)</f>
        <v>3.3314855910034193E-3</v>
      </c>
      <c r="AW8">
        <f>LN(株価データサンプル!AY10/株価データサンプル!AX10)</f>
        <v>7.3711948228701182E-2</v>
      </c>
      <c r="AX8">
        <f>LN(株価データサンプル!AZ10/株価データサンプル!AY10)</f>
        <v>8.0121925006330169E-2</v>
      </c>
      <c r="AY8">
        <f>LN(株価データサンプル!BA10/株価データサンプル!AZ10)</f>
        <v>0.1148213241620552</v>
      </c>
      <c r="AZ8">
        <f>LN(株価データサンプル!BB10/株価データサンプル!BA10)</f>
        <v>-1.5371780047853887E-2</v>
      </c>
      <c r="BA8">
        <f>LN(株価データサンプル!BC10/株価データサンプル!BB10)</f>
        <v>-0.13426930927342931</v>
      </c>
      <c r="BB8">
        <f>LN(株価データサンプル!BD10/株価データサンプル!BC10)</f>
        <v>-5.461417747272073E-2</v>
      </c>
      <c r="BC8">
        <f>LN(株価データサンプル!BE10/株価データサンプル!BD10)</f>
        <v>3.7740327982847113E-2</v>
      </c>
      <c r="BD8">
        <f>LN(株価データサンプル!BF10/株価データサンプル!BE10)</f>
        <v>2.4717026950899567E-2</v>
      </c>
      <c r="BE8">
        <f>LN(株価データサンプル!BG10/株価データサンプル!BF10)</f>
        <v>-1.3766195764147959E-2</v>
      </c>
      <c r="BF8">
        <f>LN(株価データサンプル!BH10/株価データサンプル!BG10)</f>
        <v>-7.2890130627042179E-2</v>
      </c>
      <c r="BG8">
        <f>LN(株価データサンプル!BI10/株価データサンプル!BH10)</f>
        <v>-3.7986118816086413E-2</v>
      </c>
      <c r="BH8">
        <f>LN(株価データサンプル!BJ10/株価データサンプル!BI10)</f>
        <v>7.7135368677818082E-3</v>
      </c>
      <c r="BI8">
        <f>LN(株価データサンプル!BK10/株価データサンプル!BJ10)</f>
        <v>3.4523385373499103E-2</v>
      </c>
      <c r="BK8">
        <f t="shared" si="0"/>
        <v>1.4326728969935811E-2</v>
      </c>
      <c r="BL8">
        <f t="shared" si="1"/>
        <v>8.1204857804187541E-2</v>
      </c>
    </row>
    <row r="9" spans="1:64">
      <c r="A9" t="str">
        <f>株価データサンプル!A11</f>
        <v>オリジナル設計</v>
      </c>
      <c r="B9">
        <f>LN(株価データサンプル!D11/株価データサンプル!C11)</f>
        <v>1.023550389402671E-2</v>
      </c>
      <c r="C9">
        <f>LN(株価データサンプル!E11/株価データサンプル!D11)</f>
        <v>-1.0235503894026863E-2</v>
      </c>
      <c r="D9">
        <f>LN(株価データサンプル!F11/株価データサンプル!E11)</f>
        <v>-6.8111425859145813E-2</v>
      </c>
      <c r="E9">
        <f>LN(株価データサンプル!G11/株価データサンプル!F11)</f>
        <v>-0.12913578115148458</v>
      </c>
      <c r="F9">
        <f>LN(株価データサンプル!H11/株価データサンプル!G11)</f>
        <v>0.10573638485977069</v>
      </c>
      <c r="G9">
        <f>LN(株価データサンプル!I11/株価データサンプル!H11)</f>
        <v>3.3262489946885285E-2</v>
      </c>
      <c r="H9">
        <f>LN(株価データサンプル!J11/株価データサンプル!I11)</f>
        <v>-9.8630936551715401E-3</v>
      </c>
      <c r="I9">
        <f>LN(株価データサンプル!K11/株価データサンプル!J11)</f>
        <v>-2.2050725583139812E-3</v>
      </c>
      <c r="J9">
        <f>LN(株価データサンプル!L11/株価データサンプル!K11)</f>
        <v>9.8847592325419249E-3</v>
      </c>
      <c r="K9">
        <f>LN(株価データサンプル!M11/株価データサンプル!L11)</f>
        <v>2.6955809988528295E-2</v>
      </c>
      <c r="L9">
        <f>LN(株価データサンプル!N11/株価データサンプル!M11)</f>
        <v>1.8967902706811045E-2</v>
      </c>
      <c r="M9">
        <f>LN(株価データサンプル!O11/株価データサンプル!N11)</f>
        <v>1.1416833919905596E-2</v>
      </c>
      <c r="N9">
        <f>LN(株価データサンプル!P11/株価データサンプル!O11)</f>
        <v>6.1728591070810161E-3</v>
      </c>
      <c r="O9">
        <f>LN(株価データサンプル!Q11/株価データサンプル!P11)</f>
        <v>-2.8082968742825364E-2</v>
      </c>
      <c r="P9">
        <f>LN(株価データサンプル!R11/株価データサンプル!Q11)</f>
        <v>-1.3807972966334804E-2</v>
      </c>
      <c r="Q9">
        <f>LN(株価データサンプル!S11/株価データサンプル!R11)</f>
        <v>2.1164811192043331E-2</v>
      </c>
      <c r="R9">
        <f>LN(株価データサンプル!T11/株価データサンプル!S11)</f>
        <v>1.5584731016698329E-2</v>
      </c>
      <c r="S9">
        <f>LN(株価データサンプル!U11/株価データサンプル!T11)</f>
        <v>-1.9782008952038244E-2</v>
      </c>
      <c r="T9">
        <f>LN(株価データサンプル!V11/株価データサンプル!U11)</f>
        <v>0</v>
      </c>
      <c r="U9">
        <f>LN(株価データサンプル!W11/株価データサンプル!V11)</f>
        <v>-5.2714934935119955E-3</v>
      </c>
      <c r="V9">
        <f>LN(株価データサンプル!X11/株価データサンプル!W11)</f>
        <v>5.6512210263342404E-2</v>
      </c>
      <c r="W9">
        <f>LN(株価データサンプル!Y11/株価データサンプル!X11)</f>
        <v>7.5961540803044889E-2</v>
      </c>
      <c r="X9">
        <f>LN(株価データサンプル!Z11/株価データサンプル!Y11)</f>
        <v>5.4944029743810352E-2</v>
      </c>
      <c r="Y9">
        <f>LN(株価データサンプル!AA11/株価データサンプル!Z11)</f>
        <v>2.765949879139985E-2</v>
      </c>
      <c r="Z9">
        <f>LN(株価データサンプル!AB11/株価データサンプル!AA11)</f>
        <v>-0.16357259106887728</v>
      </c>
      <c r="AA9">
        <f>LN(株価データサンプル!AC11/株価データサンプル!AB11)</f>
        <v>-0.10135249426028746</v>
      </c>
      <c r="AB9">
        <f>LN(株価データサンプル!AD11/株価データサンプル!AC11)</f>
        <v>-3.9665256392431403E-2</v>
      </c>
      <c r="AC9">
        <f>LN(株価データサンプル!AE11/株価データサンプル!AD11)</f>
        <v>3.4622077284707912E-3</v>
      </c>
      <c r="AD9">
        <f>LN(株価データサンプル!AF11/株価データサンプル!AE11)</f>
        <v>-1.6260520871780291E-2</v>
      </c>
      <c r="AE9">
        <f>LN(株価データサンプル!AG11/株価データサンプル!AF11)</f>
        <v>3.1126432147609573E-2</v>
      </c>
      <c r="AF9">
        <f>LN(株価データサンプル!AH11/株価データサンプル!AG11)</f>
        <v>2.6877317763746612E-2</v>
      </c>
      <c r="AG9">
        <f>LN(株価データサンプル!AI11/株価データサンプル!AH11)</f>
        <v>6.4193157639059861E-2</v>
      </c>
      <c r="AH9">
        <f>LN(株価データサンプル!AJ11/株価データサンプル!AI11)</f>
        <v>-9.6762010402594426E-2</v>
      </c>
      <c r="AI9">
        <f>LN(株価データサンプル!AK11/株価データサンプル!AJ11)</f>
        <v>-4.5542020446916076E-2</v>
      </c>
      <c r="AJ9">
        <f>LN(株価データサンプル!AL11/株価データサンプル!AK11)</f>
        <v>-1.8083675433295351E-2</v>
      </c>
      <c r="AK9">
        <f>LN(株価データサンプル!AM11/株価データサンプル!AL11)</f>
        <v>7.2727593290798781E-3</v>
      </c>
      <c r="AL9">
        <f>LN(株価データサンプル!AN11/株価データサンプル!AM11)</f>
        <v>-2.9413885206293341E-2</v>
      </c>
      <c r="AM9">
        <f>LN(株価データサンプル!AO11/株価データサンプル!AN11)</f>
        <v>-4.9875415110390512E-3</v>
      </c>
      <c r="AN9">
        <f>LN(株価データサンプル!AP11/株価データサンプル!AO11)</f>
        <v>1.2492194004318981E-3</v>
      </c>
      <c r="AO9">
        <f>LN(株価データサンプル!AQ11/株価データサンプル!AP11)</f>
        <v>-1.5094626222485016E-2</v>
      </c>
      <c r="AP9">
        <f>LN(株価データサンプル!AR11/株価データサンプル!AQ11)</f>
        <v>2.6267926820610105E-2</v>
      </c>
      <c r="AQ9">
        <f>LN(株価データサンプル!AS11/株価データサンプル!AR11)</f>
        <v>3.1594365418217182E-2</v>
      </c>
      <c r="AR9">
        <f>LN(株価データサンプル!AT11/株価データサンプル!AS11)</f>
        <v>8.3383449171538487E-3</v>
      </c>
      <c r="AS9">
        <f>LN(株価データサンプル!AU11/株価データサンプル!AT11)</f>
        <v>4.7337366501989213E-3</v>
      </c>
      <c r="AT9">
        <f>LN(株価データサンプル!AV11/株価データサンプル!AU11)</f>
        <v>2.218421391038072E-2</v>
      </c>
      <c r="AU9">
        <f>LN(株価データサンプル!AW11/株価データサンプル!AV11)</f>
        <v>0.10616850323569033</v>
      </c>
      <c r="AV9">
        <f>LN(株価データサンプル!AX11/株価データサンプル!AW11)</f>
        <v>-6.3224051405949111E-2</v>
      </c>
      <c r="AW9">
        <f>LN(株価データサンプル!AY11/株価データサンプル!AX11)</f>
        <v>6.2185090273529933E-2</v>
      </c>
      <c r="AX9">
        <f>LN(株価データサンプル!AZ11/株価データサンプル!AY11)</f>
        <v>0.13405100812075538</v>
      </c>
      <c r="AY9">
        <f>LN(株価データサンプル!BA11/株価データサンプル!AZ11)</f>
        <v>5.4397232958181213E-3</v>
      </c>
      <c r="AZ9">
        <f>LN(株価データサンプル!BB11/株価データサンプル!BA11)</f>
        <v>3.4654733906059942E-2</v>
      </c>
      <c r="BA9">
        <f>LN(株価データサンプル!BC11/株価データサンプル!BB11)</f>
        <v>5.686725064091968E-2</v>
      </c>
      <c r="BB9">
        <f>LN(株価データサンプル!BD11/株価データサンプル!BC11)</f>
        <v>-4.0409538337876666E-2</v>
      </c>
      <c r="BC9">
        <f>LN(株価データサンプル!BE11/株価データサンプル!BD11)</f>
        <v>-2.6111144003685773E-2</v>
      </c>
      <c r="BD9">
        <f>LN(株価データサンプル!BF11/株価データサンプル!BE11)</f>
        <v>4.8202101817877686E-2</v>
      </c>
      <c r="BE9">
        <f>LN(株価データサンプル!BG11/株価データサンプル!BF11)</f>
        <v>7.52477785100613E-2</v>
      </c>
      <c r="BF9">
        <f>LN(株価データサンプル!BH11/株価データサンプル!BG11)</f>
        <v>-4.6875085830971608E-3</v>
      </c>
      <c r="BG9">
        <f>LN(株価データサンプル!BI11/株価データサンプル!BH11)</f>
        <v>-4.8946793506426993E-2</v>
      </c>
      <c r="BH9">
        <f>LN(株価データサンプル!BJ11/株価データサンプル!BI11)</f>
        <v>-1.4913283850717635E-2</v>
      </c>
      <c r="BI9">
        <f>LN(株価データサンプル!BK11/株価データサンプル!BJ11)</f>
        <v>-2.793241267559372E-2</v>
      </c>
      <c r="BK9">
        <f t="shared" si="0"/>
        <v>3.0186760256560238E-3</v>
      </c>
      <c r="BL9">
        <f t="shared" si="1"/>
        <v>5.2400029329990348E-2</v>
      </c>
    </row>
    <row r="10" spans="1:64">
      <c r="A10" t="str">
        <f>株価データサンプル!A12</f>
        <v>関電工</v>
      </c>
      <c r="B10">
        <f>LN(株価データサンプル!D12/株価データサンプル!C12)</f>
        <v>7.6555397813282784E-3</v>
      </c>
      <c r="C10">
        <f>LN(株価データサンプル!E12/株価データサンプル!D12)</f>
        <v>-7.6555397813282385E-3</v>
      </c>
      <c r="D10">
        <f>LN(株価データサンプル!F12/株価データサンプル!E12)</f>
        <v>-0.1290130033394476</v>
      </c>
      <c r="E10">
        <f>LN(株価データサンプル!G12/株価データサンプル!F12)</f>
        <v>-6.0829560847790558E-2</v>
      </c>
      <c r="F10">
        <f>LN(株価データサンプル!H12/株価データサンプル!G12)</f>
        <v>4.9840439272195343E-2</v>
      </c>
      <c r="G10">
        <f>LN(株価データサンプル!I12/株価データサンプル!H12)</f>
        <v>8.3690953352327277E-2</v>
      </c>
      <c r="H10">
        <f>LN(株価データサンプル!J12/株価データサンプル!I12)</f>
        <v>-7.0518424795788598E-2</v>
      </c>
      <c r="I10">
        <f>LN(株価データサンプル!K12/株価データサンプル!J12)</f>
        <v>-0.10451269873548684</v>
      </c>
      <c r="J10">
        <f>LN(株価データサンプル!L12/株価データサンプル!K12)</f>
        <v>7.2376673002306031E-3</v>
      </c>
      <c r="K10">
        <f>LN(株価データサンプル!M12/株価データサンプル!L12)</f>
        <v>3.3099948426344922E-2</v>
      </c>
      <c r="L10">
        <f>LN(株価データサンプル!N12/株価データサンプル!M12)</f>
        <v>-9.3799693256750291E-2</v>
      </c>
      <c r="M10">
        <f>LN(株価データサンプル!O12/株価データサンプル!N12)</f>
        <v>1.8975901459005604E-2</v>
      </c>
      <c r="N10">
        <f>LN(株価データサンプル!P12/株価データサンプル!O12)</f>
        <v>8.9826958389793363E-2</v>
      </c>
      <c r="O10">
        <f>LN(株価データサンプル!Q12/株価データサンプル!P12)</f>
        <v>3.0459207484708439E-2</v>
      </c>
      <c r="P10">
        <f>LN(株価データサンプル!R12/株価データサンプル!Q12)</f>
        <v>-2.9314387668775255E-2</v>
      </c>
      <c r="Q10">
        <f>LN(株価データサンプル!S12/株価データサンプル!R12)</f>
        <v>0.10524609263578938</v>
      </c>
      <c r="R10">
        <f>LN(株価データサンプル!T12/株価データサンプル!S12)</f>
        <v>-3.8850030062482277E-2</v>
      </c>
      <c r="S10">
        <f>LN(株価データサンプル!U12/株価データサンプル!T12)</f>
        <v>-3.0437132185863296E-2</v>
      </c>
      <c r="T10">
        <f>LN(株価データサンプル!V12/株価データサンプル!U12)</f>
        <v>-4.4000329262437472E-2</v>
      </c>
      <c r="U10">
        <f>LN(株価データサンプル!W12/株価データサンプル!V12)</f>
        <v>5.4977387893588324E-2</v>
      </c>
      <c r="V10">
        <f>LN(株価データサンプル!X12/株価データサンプル!W12)</f>
        <v>3.2226204377747925E-2</v>
      </c>
      <c r="W10">
        <f>LN(株価データサンプル!Y12/株価データサンプル!X12)</f>
        <v>-1.7057982904576625E-2</v>
      </c>
      <c r="X10">
        <f>LN(株価データサンプル!Z12/株価データサンプル!Y12)</f>
        <v>-5.2992530140510342E-2</v>
      </c>
      <c r="Y10">
        <f>LN(株価データサンプル!AA12/株価データサンプル!Z12)</f>
        <v>-8.5157808340306826E-2</v>
      </c>
      <c r="Z10">
        <f>LN(株価データサンプル!AB12/株価データサンプル!AA12)</f>
        <v>5.6403670931295329E-2</v>
      </c>
      <c r="AA10">
        <f>LN(株価データサンプル!AC12/株価データサンプル!AB12)</f>
        <v>-7.025790024405623E-3</v>
      </c>
      <c r="AB10">
        <f>LN(株価データサンプル!AD12/株価データサンプル!AC12)</f>
        <v>2.5523427266228169E-2</v>
      </c>
      <c r="AC10">
        <f>LN(株価データサンプル!AE12/株価データサンプル!AD12)</f>
        <v>-4.5702153480855399E-2</v>
      </c>
      <c r="AD10">
        <f>LN(株価データサンプル!AF12/株価データサンプル!AE12)</f>
        <v>-1.2062872449275095E-2</v>
      </c>
      <c r="AE10">
        <f>LN(株価データサンプル!AG12/株価データサンプル!AF12)</f>
        <v>-2.7061922042957192E-2</v>
      </c>
      <c r="AF10">
        <f>LN(株価データサンプル!AH12/株価データサンプル!AG12)</f>
        <v>5.3410751739708703E-2</v>
      </c>
      <c r="AG10">
        <f>LN(株価データサンプル!AI12/株価データサンプル!AH12)</f>
        <v>-2.5135973271542274E-2</v>
      </c>
      <c r="AH10">
        <f>LN(株価データサンプル!AJ12/株価データサンプル!AI12)</f>
        <v>1.68273201325253E-2</v>
      </c>
      <c r="AI10">
        <f>LN(株価データサンプル!AK12/株価データサンプル!AJ12)</f>
        <v>-8.3782656459975777E-3</v>
      </c>
      <c r="AJ10">
        <f>LN(株価データサンプル!AL12/株価データサンプル!AK12)</f>
        <v>4.7961722634930135E-3</v>
      </c>
      <c r="AK10">
        <f>LN(株価データサンプル!AM12/株価データサンプル!AL12)</f>
        <v>3.7563101575648523E-2</v>
      </c>
      <c r="AL10">
        <f>LN(株価データサンプル!AN12/株価データサンプル!AM12)</f>
        <v>-8.0972102326193618E-3</v>
      </c>
      <c r="AM10">
        <f>LN(株価データサンプル!AO12/株価データサンプル!AN12)</f>
        <v>1.2694919481248724E-2</v>
      </c>
      <c r="AN10">
        <f>LN(株価データサンプル!AP12/株価データサンプル!AO12)</f>
        <v>2.4916351264534418E-2</v>
      </c>
      <c r="AO10">
        <f>LN(株価データサンプル!AQ12/株価データサンプル!AP12)</f>
        <v>4.4840754115172882E-2</v>
      </c>
      <c r="AP10">
        <f>LN(株価データサンプル!AR12/株価データサンプル!AQ12)</f>
        <v>8.8970241474962714E-2</v>
      </c>
      <c r="AQ10">
        <f>LN(株価データサンプル!AS12/株価データサンプル!AR12)</f>
        <v>-1.3793322132335873E-2</v>
      </c>
      <c r="AR10">
        <f>LN(株価データサンプル!AT12/株価データサンプル!AS12)</f>
        <v>0.13786227856236258</v>
      </c>
      <c r="AS10">
        <f>LN(株価データサンプル!AU12/株価データサンプル!AT12)</f>
        <v>7.4107972153721835E-2</v>
      </c>
      <c r="AT10">
        <f>LN(株価データサンプル!AV12/株価データサンプル!AU12)</f>
        <v>6.8992871486951421E-2</v>
      </c>
      <c r="AU10">
        <f>LN(株価データサンプル!AW12/株価データサンプル!AV12)</f>
        <v>3.0975927894304929E-2</v>
      </c>
      <c r="AV10">
        <f>LN(株価データサンプル!AX12/株価データサンプル!AW12)</f>
        <v>1.3703784593663009E-2</v>
      </c>
      <c r="AW10">
        <f>LN(株価データサンプル!AY12/株価データサンプル!AX12)</f>
        <v>-4.9936953285938633E-2</v>
      </c>
      <c r="AX10">
        <f>LN(株価データサンプル!AZ12/株価データサンプル!AY12)</f>
        <v>3.6959121537224741E-2</v>
      </c>
      <c r="AY10">
        <f>LN(株価データサンプル!BA12/株価データサンプル!AZ12)</f>
        <v>9.9392086848027236E-2</v>
      </c>
      <c r="AZ10">
        <f>LN(株価データサンプル!BB12/株価データサンプル!BA12)</f>
        <v>0.11588314469395969</v>
      </c>
      <c r="BA10">
        <f>LN(株価データサンプル!BC12/株価データサンプル!BB12)</f>
        <v>2.3135791903011252E-2</v>
      </c>
      <c r="BB10">
        <f>LN(株価データサンプル!BD12/株価データサンプル!BC12)</f>
        <v>5.7012697189561994E-3</v>
      </c>
      <c r="BC10">
        <f>LN(株価データサンプル!BE12/株価データサンプル!BD12)</f>
        <v>6.2261912299979134E-2</v>
      </c>
      <c r="BD10">
        <f>LN(株価データサンプル!BF12/株価データサンプル!BE12)</f>
        <v>-8.3520972049861295E-2</v>
      </c>
      <c r="BE10">
        <f>LN(株価データサンプル!BG12/株価データサンプル!BF12)</f>
        <v>0.17727594158737958</v>
      </c>
      <c r="BF10">
        <f>LN(株価データサンプル!BH12/株価データサンプル!BG12)</f>
        <v>4.8419519243024289E-2</v>
      </c>
      <c r="BG10">
        <f>LN(株価データサンプル!BI12/株価データサンプル!BH12)</f>
        <v>3.1024386017410237E-2</v>
      </c>
      <c r="BH10">
        <f>LN(株価データサンプル!BJ12/株価データサンプル!BI12)</f>
        <v>8.276526386496565E-3</v>
      </c>
      <c r="BI10">
        <f>LN(株価データサンプル!BK12/株価データサンプル!BJ12)</f>
        <v>1.3057616088494556E-2</v>
      </c>
      <c r="BK10">
        <f t="shared" si="0"/>
        <v>1.3022643428258533E-2</v>
      </c>
      <c r="BL10">
        <f t="shared" si="1"/>
        <v>5.9546025783101281E-2</v>
      </c>
    </row>
    <row r="11" spans="1:64">
      <c r="A11" t="str">
        <f>株価データサンプル!A13</f>
        <v>モリタホールディングス</v>
      </c>
      <c r="B11">
        <f>LN(株価データサンプル!D13/株価データサンプル!C13)</f>
        <v>4.0273899137939898E-2</v>
      </c>
      <c r="C11">
        <f>LN(株価データサンプル!E13/株価データサンプル!D13)</f>
        <v>-4.5424125114255823E-2</v>
      </c>
      <c r="D11">
        <f>LN(株価データサンプル!F13/株価データサンプル!E13)</f>
        <v>-3.4435850717748927E-2</v>
      </c>
      <c r="E11">
        <f>LN(株価データサンプル!G13/株価データサンプル!F13)</f>
        <v>-1.2548715609344346E-2</v>
      </c>
      <c r="F11">
        <f>LN(株価データサンプル!H13/株価データサンプル!G13)</f>
        <v>1.2019232216166232E-3</v>
      </c>
      <c r="G11">
        <f>LN(株価データサンプル!I13/株価データサンプル!H13)</f>
        <v>8.515780834030677E-2</v>
      </c>
      <c r="H11">
        <f>LN(株価データサンプル!J13/株価データサンプル!I13)</f>
        <v>3.7352109390473787E-2</v>
      </c>
      <c r="I11">
        <f>LN(株価データサンプル!K13/株価データサンプル!J13)</f>
        <v>-2.9112568131229602E-2</v>
      </c>
      <c r="J11">
        <f>LN(株価データサンプル!L13/株価データサンプル!K13)</f>
        <v>5.9980831154914899E-2</v>
      </c>
      <c r="K11">
        <f>LN(株価データサンプル!M13/株価データサンプル!L13)</f>
        <v>5.5124174903370265E-2</v>
      </c>
      <c r="L11">
        <f>LN(株価データサンプル!N13/株価データサンプル!M13)</f>
        <v>-7.3845470511579248E-2</v>
      </c>
      <c r="M11">
        <f>LN(株価データサンプル!O13/株価データサンプル!N13)</f>
        <v>-6.5623974420846665E-2</v>
      </c>
      <c r="N11">
        <f>LN(株価データサンプル!P13/株価データサンプル!O13)</f>
        <v>-1.695914020782633E-2</v>
      </c>
      <c r="O11">
        <f>LN(株価データサンプル!Q13/株価データサンプル!P13)</f>
        <v>-4.5488891890100018E-2</v>
      </c>
      <c r="P11">
        <f>LN(株価データサンプル!R13/株価データサンプル!Q13)</f>
        <v>4.3777051243823459E-2</v>
      </c>
      <c r="Q11">
        <f>LN(株価データサンプル!S13/株価データサンプル!R13)</f>
        <v>2.0351182873576259E-2</v>
      </c>
      <c r="R11">
        <f>LN(株価データサンプル!T13/株価データサンプル!S13)</f>
        <v>-0.11680421994515083</v>
      </c>
      <c r="S11">
        <f>LN(株価データサンプル!U13/株価データサンプル!T13)</f>
        <v>-3.3251145148687919E-2</v>
      </c>
      <c r="T11">
        <f>LN(株価データサンプル!V13/株価データサンプル!U13)</f>
        <v>3.8895562768364991E-2</v>
      </c>
      <c r="U11">
        <f>LN(株価データサンプル!W13/株価データサンプル!V13)</f>
        <v>-3.8245578995074948E-2</v>
      </c>
      <c r="V11">
        <f>LN(株価データサンプル!X13/株価データサンプル!W13)</f>
        <v>4.5380953084881003E-3</v>
      </c>
      <c r="W11">
        <f>LN(株価データサンプル!Y13/株価データサンプル!X13)</f>
        <v>-1.630293688807441E-2</v>
      </c>
      <c r="X11">
        <f>LN(株価データサンプル!Z13/株価データサンプル!Y13)</f>
        <v>-6.1693569005339899E-2</v>
      </c>
      <c r="Y11">
        <f>LN(株価データサンプル!AA13/株価データサンプル!Z13)</f>
        <v>-0.11629812469654648</v>
      </c>
      <c r="Z11">
        <f>LN(株価データサンプル!AB13/株価データサンプル!AA13)</f>
        <v>2.71229334597375E-2</v>
      </c>
      <c r="AA11">
        <f>LN(株価データサンプル!AC13/株価データサンプル!AB13)</f>
        <v>-3.1847351696005013E-2</v>
      </c>
      <c r="AB11">
        <f>LN(株価データサンプル!AD13/株価データサンプル!AC13)</f>
        <v>-3.2895063824982342E-2</v>
      </c>
      <c r="AC11">
        <f>LN(株価データサンプル!AE13/株価データサンプル!AD13)</f>
        <v>8.1235215214793474E-3</v>
      </c>
      <c r="AD11">
        <f>LN(株価データサンプル!AF13/株価データサンプル!AE13)</f>
        <v>8.8603076624004032E-3</v>
      </c>
      <c r="AE11">
        <f>LN(株価データサンプル!AG13/株価データサンプル!AF13)</f>
        <v>4.2392532832468743E-2</v>
      </c>
      <c r="AF11">
        <f>LN(株価データサンプル!AH13/株価データサンプル!AG13)</f>
        <v>1.449853706791132E-2</v>
      </c>
      <c r="AG11">
        <f>LN(株価データサンプル!AI13/株価データサンプル!AH13)</f>
        <v>2.0248160829947494E-2</v>
      </c>
      <c r="AH11">
        <f>LN(株価データサンプル!AJ13/株価データサンプル!AI13)</f>
        <v>-5.8862996957726968E-2</v>
      </c>
      <c r="AI11">
        <f>LN(株価データサンプル!AK13/株価データサンプル!AJ13)</f>
        <v>9.4044580279784191E-3</v>
      </c>
      <c r="AJ11">
        <f>LN(株価データサンプル!AL13/株価データサンプル!AK13)</f>
        <v>-3.9077814480760822E-3</v>
      </c>
      <c r="AK11">
        <f>LN(株価データサンプル!AM13/株価データサンプル!AL13)</f>
        <v>-8.6512533284178426E-3</v>
      </c>
      <c r="AL11">
        <f>LN(株価データサンプル!AN13/株価データサンプル!AM13)</f>
        <v>-8.6580621006230027E-2</v>
      </c>
      <c r="AM11">
        <f>LN(株価データサンプル!AO13/株価データサンプル!AN13)</f>
        <v>4.381492724615859E-2</v>
      </c>
      <c r="AN11">
        <f>LN(株価データサンプル!AP13/株価データサンプル!AO13)</f>
        <v>3.2921840434770979E-3</v>
      </c>
      <c r="AO11">
        <f>LN(株価データサンプル!AQ13/株価データサンプル!AP13)</f>
        <v>8.8790128228272369E-2</v>
      </c>
      <c r="AP11">
        <f>LN(株価データサンプル!AR13/株価データサンプル!AQ13)</f>
        <v>7.1095921683730259E-2</v>
      </c>
      <c r="AQ11">
        <f>LN(株価データサンプル!AS13/株価データサンプル!AR13)</f>
        <v>1.1142176553241803E-2</v>
      </c>
      <c r="AR11">
        <f>LN(株価データサンプル!AT13/株価データサンプル!AS13)</f>
        <v>7.341521147482126E-2</v>
      </c>
      <c r="AS11">
        <f>LN(株価データサンプル!AU13/株価データサンプル!AT13)</f>
        <v>-3.8684767779203176E-3</v>
      </c>
      <c r="AT11">
        <f>LN(株価データサンプル!AV13/株価データサンプル!AU13)</f>
        <v>5.7732466668571708E-2</v>
      </c>
      <c r="AU11">
        <f>LN(株価データサンプル!AW13/株価データサンプル!AV13)</f>
        <v>-2.9077210908195608E-2</v>
      </c>
      <c r="AV11">
        <f>LN(株価データサンプル!AX13/株価データサンプル!AW13)</f>
        <v>-3.3836614502373699E-2</v>
      </c>
      <c r="AW11">
        <f>LN(株価データサンプル!AY13/株価データサンプル!AX13)</f>
        <v>-9.1324835632724741E-3</v>
      </c>
      <c r="AX11">
        <f>LN(株価データサンプル!AZ13/株価データサンプル!AY13)</f>
        <v>1.8182319083190328E-2</v>
      </c>
      <c r="AY11">
        <f>LN(株価データサンプル!BA13/株価データサンプル!AZ13)</f>
        <v>2.9796182069121914E-2</v>
      </c>
      <c r="AZ11">
        <f>LN(株価データサンプル!BB13/株価データサンプル!BA13)</f>
        <v>-1.0044026685333655E-2</v>
      </c>
      <c r="BA11">
        <f>LN(株価データサンプル!BC13/株価データサンプル!BB13)</f>
        <v>3.228089105975402E-2</v>
      </c>
      <c r="BB11">
        <f>LN(株価データサンプル!BD13/株価データサンプル!BC13)</f>
        <v>0.12824867927111594</v>
      </c>
      <c r="BC11">
        <f>LN(株価データサンプル!BE13/株価データサンプル!BD13)</f>
        <v>-2.1179178822347162E-2</v>
      </c>
      <c r="BD11">
        <f>LN(株価データサンプル!BF13/株価データサンプル!BE13)</f>
        <v>2.653824845418597E-2</v>
      </c>
      <c r="BE11">
        <f>LN(株価データサンプル!BG13/株価データサンプル!BF13)</f>
        <v>3.5183466176621894E-2</v>
      </c>
      <c r="BF11">
        <f>LN(株価データサンプル!BH13/株価データサンプル!BG13)</f>
        <v>-4.1617804729267516E-2</v>
      </c>
      <c r="BG11">
        <f>LN(株価データサンプル!BI13/株価データサンプル!BH13)</f>
        <v>0.16978135908089914</v>
      </c>
      <c r="BH11">
        <f>LN(株価データサンプル!BJ13/株価データサンプル!BI13)</f>
        <v>-7.1980274669889238E-2</v>
      </c>
      <c r="BI11">
        <f>LN(株価データサンプル!BK13/株価データサンプル!BJ13)</f>
        <v>1.0191789263130307E-2</v>
      </c>
      <c r="BK11">
        <f t="shared" si="0"/>
        <v>2.7878931649874565E-3</v>
      </c>
      <c r="BL11">
        <f t="shared" si="1"/>
        <v>5.3207867492019854E-2</v>
      </c>
    </row>
    <row r="12" spans="1:64">
      <c r="A12" t="str">
        <f>株価データサンプル!A14</f>
        <v>井村屋グループ</v>
      </c>
      <c r="B12">
        <f>LN(株価データサンプル!D14/株価データサンプル!C14)</f>
        <v>-6.6068892795516254E-2</v>
      </c>
      <c r="C12">
        <f>LN(株価データサンプル!E14/株価データサンプル!D14)</f>
        <v>-3.1331618320369309E-3</v>
      </c>
      <c r="D12">
        <f>LN(株価データサンプル!F14/株価データサンプル!E14)</f>
        <v>-0.19580112062219474</v>
      </c>
      <c r="E12">
        <f>LN(株価データサンプル!G14/株価データサンプル!F14)</f>
        <v>0.13821189777782941</v>
      </c>
      <c r="F12">
        <f>LN(株価データサンプル!H14/株価データサンプル!G14)</f>
        <v>4.86582467495454E-2</v>
      </c>
      <c r="G12">
        <f>LN(株価データサンプル!I14/株価データサンプル!H14)</f>
        <v>7.6667828995045054E-2</v>
      </c>
      <c r="H12">
        <f>LN(株価データサンプル!J14/株価データサンプル!I14)</f>
        <v>0.10916558391044906</v>
      </c>
      <c r="I12">
        <f>LN(株価データサンプル!K14/株価データサンプル!J14)</f>
        <v>-2.2602335989488465E-2</v>
      </c>
      <c r="J12">
        <f>LN(株価データサンプル!L14/株価データサンプル!K14)</f>
        <v>1.7329916042915918E-2</v>
      </c>
      <c r="K12">
        <f>LN(株価データサンプル!M14/株価データサンプル!L14)</f>
        <v>0.11159653779888455</v>
      </c>
      <c r="L12">
        <f>LN(株価データサンプル!N14/株価データサンプル!M14)</f>
        <v>-6.2177244951891412E-2</v>
      </c>
      <c r="M12">
        <f>LN(株価データサンプル!O14/株価データサンプル!N14)</f>
        <v>7.3928261487410191E-2</v>
      </c>
      <c r="N12">
        <f>LN(株価データサンプル!P14/株価データサンプル!O14)</f>
        <v>-1.2539349252735251E-2</v>
      </c>
      <c r="O12">
        <f>LN(株価データサンプル!Q14/株価データサンプル!P14)</f>
        <v>7.4641870806883299E-3</v>
      </c>
      <c r="P12">
        <f>LN(株価データサンプル!R14/株価データサンプル!Q14)</f>
        <v>-1.9364367181791232E-2</v>
      </c>
      <c r="Q12">
        <f>LN(株価データサンプル!S14/株価データサンプル!R14)</f>
        <v>1.2688512818319252E-2</v>
      </c>
      <c r="R12">
        <f>LN(株価データサンプル!T14/株価データサンプル!S14)</f>
        <v>-5.6741312686873387E-2</v>
      </c>
      <c r="S12">
        <f>LN(株価データサンプル!U14/株価データサンプル!T14)</f>
        <v>-2.2776184890556307E-2</v>
      </c>
      <c r="T12">
        <f>LN(株価データサンプル!V14/株価データサンプル!U14)</f>
        <v>-8.1388326754465289E-3</v>
      </c>
      <c r="U12">
        <f>LN(株価データサンプル!W14/株価データサンプル!V14)</f>
        <v>-1.5604998068890007E-2</v>
      </c>
      <c r="V12">
        <f>LN(株価データサンプル!X14/株価データサンプル!W14)</f>
        <v>2.8425686497951505E-2</v>
      </c>
      <c r="W12">
        <f>LN(株価データサンプル!Y14/株価データサンプル!X14)</f>
        <v>-1.454260017608108E-2</v>
      </c>
      <c r="X12">
        <f>LN(株価データサンプル!Z14/株価データサンプル!Y14)</f>
        <v>1.1565774673550097E-2</v>
      </c>
      <c r="Y12">
        <f>LN(株価データサンプル!AA14/株価データサンプル!Z14)</f>
        <v>-8.2530182748833489E-2</v>
      </c>
      <c r="Z12">
        <f>LN(株価データサンプル!AB14/株価データサンプル!AA14)</f>
        <v>3.186432530204792E-2</v>
      </c>
      <c r="AA12">
        <f>LN(株価データサンプル!AC14/株価データサンプル!AB14)</f>
        <v>-3.5906681307285959E-3</v>
      </c>
      <c r="AB12">
        <f>LN(株価データサンプル!AD14/株価データサンプル!AC14)</f>
        <v>3.2296547318625329E-2</v>
      </c>
      <c r="AC12">
        <f>LN(株価データサンプル!AE14/株価データサンプル!AD14)</f>
        <v>-1.6239110422766677E-2</v>
      </c>
      <c r="AD12">
        <f>LN(株価データサンプル!AF14/株価データサンプル!AE14)</f>
        <v>-4.8791403070158751E-3</v>
      </c>
      <c r="AE12">
        <f>LN(株価データサンプル!AG14/株価データサンプル!AF14)</f>
        <v>4.0519592198346971E-2</v>
      </c>
      <c r="AF12">
        <f>LN(株価データサンプル!AH14/株価データサンプル!AG14)</f>
        <v>-2.289022420509592E-2</v>
      </c>
      <c r="AG12">
        <f>LN(株価データサンプル!AI14/株価データサンプル!AH14)</f>
        <v>-1.7490166242616178E-3</v>
      </c>
      <c r="AH12">
        <f>LN(株価データサンプル!AJ14/株価データサンプル!AI14)</f>
        <v>-1.1443786860301789E-2</v>
      </c>
      <c r="AI12">
        <f>LN(株価データサンプル!AK14/株価データサンプル!AJ14)</f>
        <v>-3.2391495791235403E-2</v>
      </c>
      <c r="AJ12">
        <f>LN(株価データサンプル!AL14/株価データサンプル!AK14)</f>
        <v>4.571428651038963E-4</v>
      </c>
      <c r="AK12">
        <f>LN(株価データサンプル!AM14/株価データサンプル!AL14)</f>
        <v>1.9462030890660679E-2</v>
      </c>
      <c r="AL12">
        <f>LN(株価データサンプル!AN14/株価データサンプル!AM14)</f>
        <v>8.9605740762532164E-4</v>
      </c>
      <c r="AM12">
        <f>LN(株価データサンプル!AO14/株価データサンプル!AN14)</f>
        <v>4.0223517919473492E-3</v>
      </c>
      <c r="AN12">
        <f>LN(株価データサンプル!AP14/株価データサンプル!AO14)</f>
        <v>-6.7129363747376073E-3</v>
      </c>
      <c r="AO12">
        <f>LN(株価データサンプル!AQ14/株価データサンプル!AP14)</f>
        <v>-1.3480118868946383E-3</v>
      </c>
      <c r="AP12">
        <f>LN(株価データサンプル!AR14/株価データサンプル!AQ14)</f>
        <v>4.0102311149861368E-2</v>
      </c>
      <c r="AQ12">
        <f>LN(株価データサンプル!AS14/株価データサンプル!AR14)</f>
        <v>-5.0952327173927184E-2</v>
      </c>
      <c r="AR12">
        <f>LN(株価データサンプル!AT14/株価データサンプル!AS14)</f>
        <v>2.0248160829947494E-2</v>
      </c>
      <c r="AS12">
        <f>LN(株価データサンプル!AU14/株価データサンプル!AT14)</f>
        <v>1.5469921772131733E-2</v>
      </c>
      <c r="AT12">
        <f>LN(株価データサンプル!AV14/株価データサンプル!AU14)</f>
        <v>2.1263547935854443E-2</v>
      </c>
      <c r="AU12">
        <f>LN(株価データサンプル!AW14/株価データサンプル!AV14)</f>
        <v>-2.8305830561267488E-2</v>
      </c>
      <c r="AV12">
        <f>LN(株価データサンプル!AX14/株価データサンプル!AW14)</f>
        <v>3.7282167815131141E-2</v>
      </c>
      <c r="AW12">
        <f>LN(株価データサンプル!AY14/株価データサンプル!AX14)</f>
        <v>-1.3279269882672978E-2</v>
      </c>
      <c r="AX12">
        <f>LN(株価データサンプル!AZ14/株価データサンプル!AY14)</f>
        <v>1.8372659501776058E-2</v>
      </c>
      <c r="AY12">
        <f>LN(株価データサンプル!BA14/株価データサンプル!AZ14)</f>
        <v>3.0438038759382544E-2</v>
      </c>
      <c r="AZ12">
        <f>LN(株価データサンプル!BB14/株価データサンプル!BA14)</f>
        <v>1.4271394105332761E-2</v>
      </c>
      <c r="BA12">
        <f>LN(株価データサンプル!BC14/株価データサンプル!BB14)</f>
        <v>2.3210325644725183E-2</v>
      </c>
      <c r="BB12">
        <f>LN(株価データサンプル!BD14/株価データサンプル!BC14)</f>
        <v>-3.0524458210646074E-2</v>
      </c>
      <c r="BC12">
        <f>LN(株価データサンプル!BE14/株価データサンプル!BD14)</f>
        <v>4.8557091099969869E-2</v>
      </c>
      <c r="BD12">
        <f>LN(株価データサンプル!BF14/株価データサンプル!BE14)</f>
        <v>-4.4080990035534097E-2</v>
      </c>
      <c r="BE12">
        <f>LN(株価データサンプル!BG14/株価データサンプル!BF14)</f>
        <v>5.7203524926005715E-2</v>
      </c>
      <c r="BF12">
        <f>LN(株価データサンプル!BH14/株価データサンプル!BG14)</f>
        <v>-4.4695796806561841E-2</v>
      </c>
      <c r="BG12">
        <f>LN(株価データサンプル!BI14/株価データサンプル!BH14)</f>
        <v>7.1914013481076313E-3</v>
      </c>
      <c r="BH12">
        <f>LN(株価データサンプル!BJ14/株価データサンプル!BI14)</f>
        <v>-2.9901217546872482E-2</v>
      </c>
      <c r="BI12">
        <f>LN(株価データサンプル!BK14/株価データサンプル!BJ14)</f>
        <v>-1.1551283556516113E-2</v>
      </c>
      <c r="BK12">
        <f t="shared" si="0"/>
        <v>2.704581304096679E-3</v>
      </c>
      <c r="BL12">
        <f t="shared" si="1"/>
        <v>4.9042412737610237E-2</v>
      </c>
    </row>
    <row r="13" spans="1:64">
      <c r="A13" t="str">
        <f>株価データサンプル!A15</f>
        <v>ＮＪＳ</v>
      </c>
      <c r="B13">
        <f>LN(株価データサンプル!D15/株価データサンプル!C15)</f>
        <v>4.7991144991791447E-2</v>
      </c>
      <c r="C13">
        <f>LN(株価データサンプル!E15/株価データサンプル!D15)</f>
        <v>-7.747686790825826E-3</v>
      </c>
      <c r="D13">
        <f>LN(株価データサンプル!F15/株価データサンプル!E15)</f>
        <v>-8.6405499964127996E-2</v>
      </c>
      <c r="E13">
        <f>LN(株価データサンプル!G15/株価データサンプル!F15)</f>
        <v>-3.6407807206557874E-3</v>
      </c>
      <c r="F13">
        <f>LN(株価データサンプル!H15/株価データサンプル!G15)</f>
        <v>-4.602802494385113E-2</v>
      </c>
      <c r="G13">
        <f>LN(株価データサンプル!I15/株価データサンプル!H15)</f>
        <v>0.1293853174778383</v>
      </c>
      <c r="H13">
        <f>LN(株価データサンプル!J15/株価データサンプル!I15)</f>
        <v>-2.8938189492354504E-2</v>
      </c>
      <c r="I13">
        <f>LN(株価データサンプル!K15/株価データサンプル!J15)</f>
        <v>-0.12689175185462376</v>
      </c>
      <c r="J13">
        <f>LN(株価データサンプル!L15/株価データサンプル!K15)</f>
        <v>0.15471074704996327</v>
      </c>
      <c r="K13">
        <f>LN(株価データサンプル!M15/株価データサンプル!L15)</f>
        <v>7.9611914576795298E-2</v>
      </c>
      <c r="L13">
        <f>LN(株価データサンプル!N15/株価データサンプル!M15)</f>
        <v>-3.4186868557676844E-2</v>
      </c>
      <c r="M13">
        <f>LN(株価データサンプル!O15/株価データサンプル!N15)</f>
        <v>4.2938533167548421E-2</v>
      </c>
      <c r="N13">
        <f>LN(株価データサンプル!P15/株価データサンプル!O15)</f>
        <v>4.5097822186733673E-2</v>
      </c>
      <c r="O13">
        <f>LN(株価データサンプル!Q15/株価データサンプル!P15)</f>
        <v>-3.1859339639227914E-2</v>
      </c>
      <c r="P13">
        <f>LN(株価データサンプル!R15/株価データサンプル!Q15)</f>
        <v>-7.508117035420675E-2</v>
      </c>
      <c r="Q13">
        <f>LN(株価データサンプル!S15/株価データサンプル!R15)</f>
        <v>0.12104923344300451</v>
      </c>
      <c r="R13">
        <f>LN(株価データサンプル!T15/株価データサンプル!S15)</f>
        <v>-3.3401926384248805E-2</v>
      </c>
      <c r="S13">
        <f>LN(株価データサンプル!U15/株価データサンプル!T15)</f>
        <v>4.4451762570833796E-2</v>
      </c>
      <c r="T13">
        <f>LN(株価データサンプル!V15/株価データサンプル!U15)</f>
        <v>-1.0566861050415549E-2</v>
      </c>
      <c r="U13">
        <f>LN(株価データサンプル!W15/株価データサンプル!V15)</f>
        <v>-7.7791902864778328E-2</v>
      </c>
      <c r="V13">
        <f>LN(株価データサンプル!X15/株価データサンプル!W15)</f>
        <v>-2.1631020126294715E-2</v>
      </c>
      <c r="W13">
        <f>LN(株価データサンプル!Y15/株価データサンプル!X15)</f>
        <v>3.3563716838140627E-2</v>
      </c>
      <c r="X13">
        <f>LN(株価データサンプル!Z15/株価データサンプル!Y15)</f>
        <v>3.5962345810469733E-2</v>
      </c>
      <c r="Y13">
        <f>LN(株価データサンプル!AA15/株価データサンプル!Z15)</f>
        <v>-3.3901551675681339E-2</v>
      </c>
      <c r="Z13">
        <f>LN(株価データサンプル!AB15/株価データサンプル!AA15)</f>
        <v>-4.6427733642004348E-3</v>
      </c>
      <c r="AA13">
        <f>LN(株価データサンプル!AC15/株価データサンプル!AB15)</f>
        <v>2.1484202294573516E-2</v>
      </c>
      <c r="AB13">
        <f>LN(株価データサンプル!AD15/株価データサンプル!AC15)</f>
        <v>1.8054652911816706E-2</v>
      </c>
      <c r="AC13">
        <f>LN(株価データサンプル!AE15/株価データサンプル!AD15)</f>
        <v>1.9860979716293243E-3</v>
      </c>
      <c r="AD13">
        <f>LN(株価データサンプル!AF15/株価データサンプル!AE15)</f>
        <v>4.0345690629373716E-2</v>
      </c>
      <c r="AE13">
        <f>LN(株価データサンプル!AG15/株価データサンプル!AF15)</f>
        <v>-5.2543708181036815E-3</v>
      </c>
      <c r="AF13">
        <f>LN(株価データサンプル!AH15/株価データサンプル!AG15)</f>
        <v>-6.4283125912073621E-2</v>
      </c>
      <c r="AG13">
        <f>LN(株価データサンプル!AI15/株価データサンプル!AH15)</f>
        <v>9.6570000801612516E-3</v>
      </c>
      <c r="AH13">
        <f>LN(株価データサンプル!AJ15/株価データサンプル!AI15)</f>
        <v>1.2066511413116486E-2</v>
      </c>
      <c r="AI13">
        <f>LN(株価データサンプル!AK15/株価データサンプル!AJ15)</f>
        <v>-1.6121255944607917E-2</v>
      </c>
      <c r="AJ13">
        <f>LN(株価データサンプル!AL15/株価データサンプル!AK15)</f>
        <v>5.1471033796654068E-2</v>
      </c>
      <c r="AK13">
        <f>LN(株価データサンプル!AM15/株価データサンプル!AL15)</f>
        <v>-1.4482261763648749E-3</v>
      </c>
      <c r="AL13">
        <f>LN(株価データサンプル!AN15/株価データサンプル!AM15)</f>
        <v>-1.6561508589001427E-2</v>
      </c>
      <c r="AM13">
        <f>LN(株価データサンプル!AO15/株価データサンプル!AN15)</f>
        <v>6.7878957274206592E-2</v>
      </c>
      <c r="AN13">
        <f>LN(株価データサンプル!AP15/株価データサンプル!AO15)</f>
        <v>2.9393931697966964E-2</v>
      </c>
      <c r="AO13">
        <f>LN(株価データサンプル!AQ15/株価データサンプル!AP15)</f>
        <v>2.2256853167287203E-3</v>
      </c>
      <c r="AP13">
        <f>LN(株価データサンプル!AR15/株価データサンプル!AQ15)</f>
        <v>2.2423449957925327E-2</v>
      </c>
      <c r="AQ13">
        <f>LN(株価データサンプル!AS15/株価データサンプル!AR15)</f>
        <v>7.7363536613488132E-2</v>
      </c>
      <c r="AR13">
        <f>LN(株価データサンプル!AT15/株価データサンプル!AS15)</f>
        <v>8.2238098236972007E-2</v>
      </c>
      <c r="AS13">
        <f>LN(株価データサンプル!AU15/株価データサンプル!AT15)</f>
        <v>0.1160518617357137</v>
      </c>
      <c r="AT13">
        <f>LN(株価データサンプル!AV15/株価データサンプル!AU15)</f>
        <v>-6.6225407604933824E-3</v>
      </c>
      <c r="AU13">
        <f>LN(株価データサンプル!AW15/株価データサンプル!AV15)</f>
        <v>-1.6625107736134141E-3</v>
      </c>
      <c r="AV13">
        <f>LN(株価データサンプル!AX15/株価データサンプル!AW15)</f>
        <v>-7.2445461380108475E-2</v>
      </c>
      <c r="AW13">
        <f>LN(株価データサンプル!AY15/株価データサンプル!AX15)</f>
        <v>1.1383972104390707E-2</v>
      </c>
      <c r="AX13">
        <f>LN(株価データサンプル!AZ15/株価データサンプル!AY15)</f>
        <v>-3.7481865019830696E-2</v>
      </c>
      <c r="AY13">
        <f>LN(株価データサンプル!BA15/株価データサンプル!AZ15)</f>
        <v>1.7113106507624549E-2</v>
      </c>
      <c r="AZ13">
        <f>LN(株価データサンプル!BB15/株価データサンプル!BA15)</f>
        <v>2.4252258538603692E-2</v>
      </c>
      <c r="BA13">
        <f>LN(株価データサンプル!BC15/株価データサンプル!BB15)</f>
        <v>0.11848750909164719</v>
      </c>
      <c r="BB13">
        <f>LN(株価データサンプル!BD15/株価データサンプル!BC15)</f>
        <v>-1.5773197677094283E-2</v>
      </c>
      <c r="BC13">
        <f>LN(株価データサンプル!BE15/株価データサンプル!BD15)</f>
        <v>0.16251892949777494</v>
      </c>
      <c r="BD13">
        <f>LN(株価データサンプル!BF15/株価データサンプル!BE15)</f>
        <v>4.3628862389206616E-2</v>
      </c>
      <c r="BE13">
        <f>LN(株価データサンプル!BG15/株価データサンプル!BF15)</f>
        <v>1.4129971762985855E-2</v>
      </c>
      <c r="BF13">
        <f>LN(株価データサンプル!BH15/株価データサンプル!BG15)</f>
        <v>-2.8462464663761521E-2</v>
      </c>
      <c r="BG13">
        <f>LN(株価データサンプル!BI15/株価データサンプル!BH15)</f>
        <v>-0.10798863806409585</v>
      </c>
      <c r="BH13">
        <f>LN(株価データサンプル!BJ15/株価データサンプル!BI15)</f>
        <v>0.1764564373415565</v>
      </c>
      <c r="BI13">
        <f>LN(株価データサンプル!BK15/株価データサンプル!BJ15)</f>
        <v>-0.13914938492874587</v>
      </c>
      <c r="BK13">
        <f t="shared" si="0"/>
        <v>1.1990073279769512E-2</v>
      </c>
      <c r="BL13">
        <f t="shared" si="1"/>
        <v>6.6161090399641881E-2</v>
      </c>
    </row>
    <row r="14" spans="1:64">
      <c r="A14" t="str">
        <f>株価データサンプル!A16</f>
        <v>協和コンサルタンツ</v>
      </c>
      <c r="B14">
        <f>LN(株価データサンプル!D16/株価データサンプル!C16)</f>
        <v>0.16940844562320714</v>
      </c>
      <c r="C14">
        <f>LN(株価データサンプル!E16/株価データサンプル!D16)</f>
        <v>4.7738086218628135E-2</v>
      </c>
      <c r="D14">
        <f>LN(株価データサンプル!F16/株価データサンプル!E16)</f>
        <v>-0.31728899615189599</v>
      </c>
      <c r="E14">
        <f>LN(株価データサンプル!G16/株価データサンプル!F16)</f>
        <v>-0.24285324612577264</v>
      </c>
      <c r="F14">
        <f>LN(株価データサンプル!H16/株価データサンプル!G16)</f>
        <v>0.17226590180566356</v>
      </c>
      <c r="G14">
        <f>LN(株価データサンプル!I16/株価データサンプル!H16)</f>
        <v>5.3507154047570962E-2</v>
      </c>
      <c r="H14">
        <f>LN(株価データサンプル!J16/株価データサンプル!I16)</f>
        <v>-6.3224657394870144E-3</v>
      </c>
      <c r="I14">
        <f>LN(株価データサンプル!K16/株価データサンプル!J16)</f>
        <v>2.8757972621439202E-2</v>
      </c>
      <c r="J14">
        <f>LN(株価データサンプル!L16/株価データサンプル!K16)</f>
        <v>6.4435804276508094E-2</v>
      </c>
      <c r="K14">
        <f>LN(株価データサンプル!M16/株価データサンプル!L16)</f>
        <v>5.6173508503935772E-2</v>
      </c>
      <c r="L14">
        <f>LN(株価データサンプル!N16/株価データサンプル!M16)</f>
        <v>6.895327628518768E-3</v>
      </c>
      <c r="M14">
        <f>LN(株価データサンプル!O16/株価データサンプル!N16)</f>
        <v>0.20378928641806082</v>
      </c>
      <c r="N14">
        <f>LN(株価データサンプル!P16/株価データサンプル!O16)</f>
        <v>3.3360599094194608E-2</v>
      </c>
      <c r="O14">
        <f>LN(株価データサンプル!Q16/株価データサンプル!P16)</f>
        <v>4.8722231694286154E-2</v>
      </c>
      <c r="P14">
        <f>LN(株価データサンプル!R16/株価データサンプル!Q16)</f>
        <v>-0.15234072458201878</v>
      </c>
      <c r="Q14">
        <f>LN(株価データサンプル!S16/株価データサンプル!R16)</f>
        <v>3.8794624337753075E-2</v>
      </c>
      <c r="R14">
        <f>LN(株価データサンプル!T16/株価データサンプル!S16)</f>
        <v>-4.9932368748209013E-2</v>
      </c>
      <c r="S14">
        <f>LN(株価データサンプル!U16/株価データサンプル!T16)</f>
        <v>-1.1263192278710714E-2</v>
      </c>
      <c r="T14">
        <f>LN(株価データサンプル!V16/株価データサンプル!U16)</f>
        <v>6.5751377562780433E-2</v>
      </c>
      <c r="U14">
        <f>LN(株価データサンプル!W16/株価データサンプル!V16)</f>
        <v>-1.5163005179639638E-3</v>
      </c>
      <c r="V14">
        <f>LN(株価データサンプル!X16/株価データサンプル!W16)</f>
        <v>-6.0882988672552934E-3</v>
      </c>
      <c r="W14">
        <f>LN(株価データサンプル!Y16/株価データサンプル!X16)</f>
        <v>2.1148824492976611E-2</v>
      </c>
      <c r="X14">
        <f>LN(株価データサンプル!Z16/株価データサンプル!Y16)</f>
        <v>4.4742803949211069E-3</v>
      </c>
      <c r="Y14">
        <f>LN(株価データサンプル!AA16/株価データサンプル!Z16)</f>
        <v>4.4543503493803746E-3</v>
      </c>
      <c r="Z14">
        <f>LN(株価データサンプル!AB16/株価データサンプル!AA16)</f>
        <v>-8.9286307443013184E-3</v>
      </c>
      <c r="AA14">
        <f>LN(株価データサンプル!AC16/株価データサンプル!AB16)</f>
        <v>-3.0351343424138467E-2</v>
      </c>
      <c r="AB14">
        <f>LN(株価データサンプル!AD16/株価データサンプル!AC16)</f>
        <v>-7.1858518769275015E-2</v>
      </c>
      <c r="AC14">
        <f>LN(株価データサンプル!AE16/株価データサンプル!AD16)</f>
        <v>2.6145280104322207E-2</v>
      </c>
      <c r="AD14">
        <f>LN(株価データサンプル!AF16/株価データサンプル!AE16)</f>
        <v>6.4308903302903314E-3</v>
      </c>
      <c r="AE14">
        <f>LN(株価データサンプル!AG16/株価データサンプル!AF16)</f>
        <v>-8.0450956848315339E-3</v>
      </c>
      <c r="AF14">
        <f>LN(株価データサンプル!AH16/株価データサンプル!AG16)</f>
        <v>-6.483004878078266E-3</v>
      </c>
      <c r="AG14">
        <f>LN(株価データサンプル!AI16/株価データサンプル!AH16)</f>
        <v>3.0426686630708154E-2</v>
      </c>
      <c r="AH14">
        <f>LN(株価データサンプル!AJ16/株価データサンプル!AI16)</f>
        <v>0.42833512774877913</v>
      </c>
      <c r="AI14">
        <f>LN(株価データサンプル!AK16/株価データサンプル!AJ16)</f>
        <v>-0.26699986380644558</v>
      </c>
      <c r="AJ14">
        <f>LN(株価データサンプル!AL16/株価データサンプル!AK16)</f>
        <v>-0.11510206890312571</v>
      </c>
      <c r="AK14">
        <f>LN(株価データサンプル!AM16/株価データサンプル!AL16)</f>
        <v>2.5280156673078608E-2</v>
      </c>
      <c r="AL14">
        <f>LN(株価データサンプル!AN16/株価データサンプル!AM16)</f>
        <v>-2.6787315963649843E-2</v>
      </c>
      <c r="AM14">
        <f>LN(株価データサンプル!AO16/株価データサンプル!AN16)</f>
        <v>-2.9076264081508901E-2</v>
      </c>
      <c r="AN14">
        <f>LN(株価データサンプル!AP16/株価データサンプル!AO16)</f>
        <v>2.454110891611766E-2</v>
      </c>
      <c r="AO14">
        <f>LN(株価データサンプル!AQ16/株価データサンプル!AP16)</f>
        <v>6.595796779179737E-2</v>
      </c>
      <c r="AP14">
        <f>LN(株価データサンプル!AR16/株価データサンプル!AQ16)</f>
        <v>5.652779739149217E-2</v>
      </c>
      <c r="AQ14">
        <f>LN(株価データサンプル!AS16/株価データサンプル!AR16)</f>
        <v>-2.4424552007074898E-2</v>
      </c>
      <c r="AR14">
        <f>LN(株価データサンプル!AT16/株価データサンプル!AS16)</f>
        <v>9.0553630593529166E-2</v>
      </c>
      <c r="AS14">
        <f>LN(株価データサンプル!AU16/株価データサンプル!AT16)</f>
        <v>-0.10299332106916836</v>
      </c>
      <c r="AT14">
        <f>LN(株価データサンプル!AV16/株価データサンプル!AU16)</f>
        <v>8.6547662629361241E-2</v>
      </c>
      <c r="AU14">
        <f>LN(株価データサンプル!AW16/株価データサンプル!AV16)</f>
        <v>1.2746974320005163E-3</v>
      </c>
      <c r="AV14">
        <f>LN(株価データサンプル!AX16/株価データサンプル!AW16)</f>
        <v>-5.2299499402848906E-2</v>
      </c>
      <c r="AW14">
        <f>LN(株価データサンプル!AY16/株価データサンプル!AX16)</f>
        <v>9.3521055702803623E-3</v>
      </c>
      <c r="AX14">
        <f>LN(株価データサンプル!AZ16/株価データサンプル!AY16)</f>
        <v>3.9118416595471349E-2</v>
      </c>
      <c r="AY14">
        <f>LN(株価データサンプル!BA16/株価データサンプル!AZ16)</f>
        <v>0.18402513471873852</v>
      </c>
      <c r="AZ14">
        <f>LN(株価データサンプル!BB16/株価データサンプル!BA16)</f>
        <v>-1.0695289116747919E-2</v>
      </c>
      <c r="BA14">
        <f>LN(株価データサンプル!BC16/株価データサンプル!BB16)</f>
        <v>7.4986960911206041E-3</v>
      </c>
      <c r="BB14">
        <f>LN(株価データサンプル!BD16/株価データサンプル!BC16)</f>
        <v>3.1965930256274942E-3</v>
      </c>
      <c r="BC14">
        <f>LN(株価データサンプル!BE16/株価データサンプル!BD16)</f>
        <v>-6.5957967791797398E-2</v>
      </c>
      <c r="BD14">
        <f>LN(株価データサンプル!BF16/株価データサンプル!BE16)</f>
        <v>4.4451762570833796E-2</v>
      </c>
      <c r="BE14">
        <f>LN(株価データサンプル!BG16/株価データサンプル!BF16)</f>
        <v>9.9254958095341267E-2</v>
      </c>
      <c r="BF14">
        <f>LN(株価データサンプル!BH16/株価データサンプル!BG16)</f>
        <v>-1.6873849489873652E-2</v>
      </c>
      <c r="BG14">
        <f>LN(株価データサンプル!BI16/株価データサンプル!BH16)</f>
        <v>3.6367644170874791E-2</v>
      </c>
      <c r="BH14">
        <f>LN(株価データサンプル!BJ16/株価データサンプル!BI16)</f>
        <v>1.9286409064056863E-3</v>
      </c>
      <c r="BI14">
        <f>LN(株価データサンプル!BK16/株価データサンプル!BJ16)</f>
        <v>-6.3639760083298857E-2</v>
      </c>
      <c r="BK14">
        <f t="shared" si="0"/>
        <v>9.9795132471419534E-3</v>
      </c>
      <c r="BL14">
        <f t="shared" si="1"/>
        <v>0.10614672410715856</v>
      </c>
    </row>
    <row r="15" spans="1:64">
      <c r="A15" t="str">
        <f>株価データサンプル!A17</f>
        <v>因幡電機産業</v>
      </c>
      <c r="B15">
        <f>LN(株価データサンプル!D17/株価データサンプル!C17)</f>
        <v>5.9276609929540307E-2</v>
      </c>
      <c r="C15">
        <f>LN(株価データサンプル!E17/株価データサンプル!D17)</f>
        <v>-6.1338817612662426E-3</v>
      </c>
      <c r="D15">
        <f>LN(株価データサンプル!F17/株価データサンプル!E17)</f>
        <v>-0.14460535746509173</v>
      </c>
      <c r="E15">
        <f>LN(株価データサンプル!G17/株価データサンプル!F17)</f>
        <v>-3.7933378176496758E-2</v>
      </c>
      <c r="F15">
        <f>LN(株価データサンプル!H17/株価データサンプル!G17)</f>
        <v>0</v>
      </c>
      <c r="G15">
        <f>LN(株価データサンプル!I17/株価データサンプル!H17)</f>
        <v>6.5976452934364702E-2</v>
      </c>
      <c r="H15">
        <f>LN(株価データサンプル!J17/株価データサンプル!I17)</f>
        <v>-2.3453039576263771E-2</v>
      </c>
      <c r="I15">
        <f>LN(株価データサンプル!K17/株価データサンプル!J17)</f>
        <v>9.5298007316547487E-3</v>
      </c>
      <c r="J15">
        <f>LN(株価データサンプル!L17/株価データサンプル!K17)</f>
        <v>8.1152321800226593E-2</v>
      </c>
      <c r="K15">
        <f>LN(株価データサンプル!M17/株価データサンプル!L17)</f>
        <v>-3.8030044192899402E-4</v>
      </c>
      <c r="L15">
        <f>LN(株価データサンプル!N17/株価データサンプル!M17)</f>
        <v>-4.7117922977069848E-2</v>
      </c>
      <c r="M15">
        <f>LN(株価データサンプル!O17/株価データサンプル!N17)</f>
        <v>-4.5267667318426998E-2</v>
      </c>
      <c r="N15">
        <f>LN(株価データサンプル!P17/株価データサンプル!O17)</f>
        <v>5.24190684760521E-2</v>
      </c>
      <c r="O15">
        <f>LN(株価データサンプル!Q17/株価データサンプル!P17)</f>
        <v>-3.2591901001464016E-2</v>
      </c>
      <c r="P15">
        <f>LN(株価データサンプル!R17/株価データサンプル!Q17)</f>
        <v>3.2591901001464051E-2</v>
      </c>
      <c r="Q15">
        <f>LN(株価データサンプル!S17/株価データサンプル!R17)</f>
        <v>5.4692104125077953E-2</v>
      </c>
      <c r="R15">
        <f>LN(株価データサンプル!T17/株価データサンプル!S17)</f>
        <v>-4.2885591538088901E-2</v>
      </c>
      <c r="S15">
        <f>LN(株価データサンプル!U17/株価データサンプル!T17)</f>
        <v>-7.8277890494083367E-4</v>
      </c>
      <c r="T15">
        <f>LN(株価データサンプル!V17/株価データサンプル!U17)</f>
        <v>1.2451522739318177E-2</v>
      </c>
      <c r="U15">
        <f>LN(株価データサンプル!W17/株価データサンプル!V17)</f>
        <v>3.0091777268142061E-2</v>
      </c>
      <c r="V15">
        <f>LN(株価データサンプル!X17/株価データサンプル!W17)</f>
        <v>1.1935986539785077E-2</v>
      </c>
      <c r="W15">
        <f>LN(株価データサンプル!Y17/株価データサンプル!X17)</f>
        <v>1.2161565039275435E-2</v>
      </c>
      <c r="X15">
        <f>LN(株価データサンプル!Z17/株価データサンプル!Y17)</f>
        <v>-1.466275922527488E-3</v>
      </c>
      <c r="Y15">
        <f>LN(株価データサンプル!AA17/株価データサンプル!Z17)</f>
        <v>-0.10308057004028531</v>
      </c>
      <c r="Z15">
        <f>LN(株価データサンプル!AB17/株価データサンプル!AA17)</f>
        <v>9.4237476303951628E-2</v>
      </c>
      <c r="AA15">
        <f>LN(株価データサンプル!AC17/株価データサンプル!AB17)</f>
        <v>-1.7924303627991314E-2</v>
      </c>
      <c r="AB15">
        <f>LN(株価データサンプル!AD17/株価データサンプル!AC17)</f>
        <v>4.136121707792032E-3</v>
      </c>
      <c r="AC15">
        <f>LN(株価データサンプル!AE17/株価データサンプル!AD17)</f>
        <v>-7.0333893546575516E-2</v>
      </c>
      <c r="AD15">
        <f>LN(株価データサンプル!AF17/株価データサンプル!AE17)</f>
        <v>2.935553908541853E-2</v>
      </c>
      <c r="AE15">
        <f>LN(株価データサンプル!AG17/株価データサンプル!AF17)</f>
        <v>1.7823021189671776E-2</v>
      </c>
      <c r="AF15">
        <f>LN(株価データサンプル!AH17/株価データサンプル!AG17)</f>
        <v>2.3155333271485126E-2</v>
      </c>
      <c r="AG15">
        <f>LN(株価データサンプル!AI17/株価データサンプル!AH17)</f>
        <v>3.8282186571016966E-2</v>
      </c>
      <c r="AH15">
        <f>LN(株価データサンプル!AJ17/株価データサンプル!AI17)</f>
        <v>-5.0688015839469832E-3</v>
      </c>
      <c r="AI15">
        <f>LN(株価データサンプル!AK17/株価データサンプル!AJ17)</f>
        <v>-1.0215338741426345E-2</v>
      </c>
      <c r="AJ15">
        <f>LN(株価データサンプル!AL17/株価データサンプル!AK17)</f>
        <v>1.8529140468700592E-2</v>
      </c>
      <c r="AK15">
        <f>LN(株価データサンプル!AM17/株価データサンプル!AL17)</f>
        <v>1.4388491690990783E-3</v>
      </c>
      <c r="AL15">
        <f>LN(株価データサンプル!AN17/株価データサンプル!AM17)</f>
        <v>-2.5852522984722692E-2</v>
      </c>
      <c r="AM15">
        <f>LN(株価データサンプル!AO17/株価データサンプル!AN17)</f>
        <v>3.7289388175668785E-2</v>
      </c>
      <c r="AN15">
        <f>LN(株価データサンプル!AP17/株価データサンプル!AO17)</f>
        <v>7.104796035986347E-4</v>
      </c>
      <c r="AO15">
        <f>LN(株価データサンプル!AQ17/株価データサンプル!AP17)</f>
        <v>2.5939063828544905E-2</v>
      </c>
      <c r="AP15">
        <f>LN(株価データサンプル!AR17/株価データサンプル!AQ17)</f>
        <v>4.5654589358463935E-2</v>
      </c>
      <c r="AQ15">
        <f>LN(株価データサンプル!AS17/株価データサンプル!AR17)</f>
        <v>-6.633523495633906E-3</v>
      </c>
      <c r="AR15">
        <f>LN(株価データサンプル!AT17/株価データサンプル!AS17)</f>
        <v>8.6040301100044264E-2</v>
      </c>
      <c r="AS15">
        <f>LN(株価データサンプル!AU17/株価データサンプル!AT17)</f>
        <v>-3.7329373094038755E-2</v>
      </c>
      <c r="AT15">
        <f>LN(株価データサンプル!AV17/株価データサンプル!AU17)</f>
        <v>0</v>
      </c>
      <c r="AU15">
        <f>LN(株価データサンプル!AW17/株価データサンプル!AV17)</f>
        <v>2.5040431959687356E-2</v>
      </c>
      <c r="AV15">
        <f>LN(株価データサンプル!AX17/株価データサンプル!AW17)</f>
        <v>-3.2995923400802013E-2</v>
      </c>
      <c r="AW15">
        <f>LN(株価データサンプル!AY17/株価データサンプル!AX17)</f>
        <v>4.6810417843990579E-2</v>
      </c>
      <c r="AX15">
        <f>LN(株価データサンプル!AZ17/株価データサンプル!AY17)</f>
        <v>3.593200922606337E-2</v>
      </c>
      <c r="AY15">
        <f>LN(株価データサンプル!BA17/株価データサンプル!AZ17)</f>
        <v>4.0351295523567449E-2</v>
      </c>
      <c r="AZ15">
        <f>LN(株価データサンプル!BB17/株価データサンプル!BA17)</f>
        <v>-1.413427797146964E-3</v>
      </c>
      <c r="BA15">
        <f>LN(株価データサンプル!BC17/株価データサンプル!BB17)</f>
        <v>-8.5227788619826259E-3</v>
      </c>
      <c r="BB15">
        <f>LN(株価データサンプル!BD17/株価データサンプル!BC17)</f>
        <v>5.0080005154746442E-2</v>
      </c>
      <c r="BC15">
        <f>LN(株価データサンプル!BE17/株価データサンプル!BD17)</f>
        <v>5.0275137164010379E-2</v>
      </c>
      <c r="BD15">
        <f>LN(株価データサンプル!BF17/株価データサンプル!BE17)</f>
        <v>1.1545990997060948E-2</v>
      </c>
      <c r="BE15">
        <f>LN(株価データサンプル!BG17/株価データサンプル!BF17)</f>
        <v>1.0152371464017908E-2</v>
      </c>
      <c r="BF15">
        <f>LN(株価データサンプル!BH17/株価データサンプル!BG17)</f>
        <v>-3.4685557987889984E-2</v>
      </c>
      <c r="BG15">
        <f>LN(株価データサンプル!BI17/株価データサンプル!BH17)</f>
        <v>1.306335914055457E-3</v>
      </c>
      <c r="BH15">
        <f>LN(株価データサンプル!BJ17/株価データサンプル!BI17)</f>
        <v>6.765573555744659E-3</v>
      </c>
      <c r="BI15">
        <f>LN(株価データサンプル!BK17/株価データサンプル!BJ17)</f>
        <v>-9.1182082835362509E-3</v>
      </c>
      <c r="BK15">
        <f t="shared" si="0"/>
        <v>6.2889641781959634E-3</v>
      </c>
      <c r="BL15">
        <f t="shared" si="1"/>
        <v>4.2040610700669452E-2</v>
      </c>
    </row>
    <row r="16" spans="1:64">
      <c r="A16" t="str">
        <f>株価データサンプル!A18</f>
        <v>Ｅ・Ｊホールディングス</v>
      </c>
      <c r="B16">
        <f>LN(株価データサンプル!D18/株価データサンプル!C18)</f>
        <v>0.18616838790601284</v>
      </c>
      <c r="C16">
        <f>LN(株価データサンプル!E18/株価データサンプル!D18)</f>
        <v>-1.3470189031000857E-2</v>
      </c>
      <c r="D16">
        <f>LN(株価データサンプル!F18/株価データサンプル!E18)</f>
        <v>-0.18752374398123819</v>
      </c>
      <c r="E16">
        <f>LN(株価データサンプル!G18/株価データサンプル!F18)</f>
        <v>-8.1466195458390261E-2</v>
      </c>
      <c r="F16">
        <f>LN(株価データサンプル!H18/株価データサンプル!G18)</f>
        <v>0.15282705289674997</v>
      </c>
      <c r="G16">
        <f>LN(株価データサンプル!I18/株価データサンプル!H18)</f>
        <v>3.3857400590661259E-2</v>
      </c>
      <c r="H16">
        <f>LN(株価データサンプル!J18/株価データサンプル!I18)</f>
        <v>0.20270563904062158</v>
      </c>
      <c r="I16">
        <f>LN(株価データサンプル!K18/株価データサンプル!J18)</f>
        <v>3.5938159079543119E-2</v>
      </c>
      <c r="J16">
        <f>LN(株価データサンプル!L18/株価データサンプル!K18)</f>
        <v>0.14306722397989249</v>
      </c>
      <c r="K16">
        <f>LN(株価データサンプル!M18/株価データサンプル!L18)</f>
        <v>0.14234298077757135</v>
      </c>
      <c r="L16">
        <f>LN(株価データサンプル!N18/株価データサンプル!M18)</f>
        <v>-0.23861516161808718</v>
      </c>
      <c r="M16">
        <f>LN(株価データサンプル!O18/株価データサンプル!N18)</f>
        <v>-4.8239360308529348E-3</v>
      </c>
      <c r="N16">
        <f>LN(株価データサンプル!P18/株価データサンプル!O18)</f>
        <v>1.440255332792267E-2</v>
      </c>
      <c r="O16">
        <f>LN(株価データサンプル!Q18/株価データサンプル!P18)</f>
        <v>-5.5869501111424427E-2</v>
      </c>
      <c r="P16">
        <f>LN(株価データサンプル!R18/株価データサンプル!Q18)</f>
        <v>-3.0287756621607039E-3</v>
      </c>
      <c r="Q16">
        <f>LN(株価データサンプル!S18/株価データサンプル!R18)</f>
        <v>7.0272806991271031E-2</v>
      </c>
      <c r="R16">
        <f>LN(株価データサンプル!T18/株価データサンプル!S18)</f>
        <v>8.4467888419687467E-3</v>
      </c>
      <c r="S16">
        <f>LN(株価データサンプル!U18/株価データサンプル!T18)</f>
        <v>-2.8076761541985249E-3</v>
      </c>
      <c r="T16">
        <f>LN(株価データサンプル!V18/株価データサンプル!U18)</f>
        <v>-1.0362787035546547E-2</v>
      </c>
      <c r="U16">
        <f>LN(株価データサンプル!W18/株価データサンプル!V18)</f>
        <v>0.21324624935801523</v>
      </c>
      <c r="V16">
        <f>LN(株価データサンプル!X18/株価データサンプル!W18)</f>
        <v>-3.5829377659302331E-2</v>
      </c>
      <c r="W16">
        <f>LN(株価データサンプル!Y18/株価データサンプル!X18)</f>
        <v>5.7026234869430356E-2</v>
      </c>
      <c r="X16">
        <f>LN(株価データサンプル!Z18/株価データサンプル!Y18)</f>
        <v>-6.6588060708772226E-2</v>
      </c>
      <c r="Y16">
        <f>LN(株価データサンプル!AA18/株価データサンプル!Z18)</f>
        <v>-5.7676609588206695E-2</v>
      </c>
      <c r="Z16">
        <f>LN(株価データサンプル!AB18/株価データサンプル!AA18)</f>
        <v>5.6074045142665591E-2</v>
      </c>
      <c r="AA16">
        <f>LN(株価データサンプル!AC18/株価データサンプル!AB18)</f>
        <v>-7.4910218486359842E-2</v>
      </c>
      <c r="AB16">
        <f>LN(株価データサンプル!AD18/株価データサンプル!AC18)</f>
        <v>1.7138380066600133E-2</v>
      </c>
      <c r="AC16">
        <f>LN(株価データサンプル!AE18/株価データサンプル!AD18)</f>
        <v>4.4858018924176873E-2</v>
      </c>
      <c r="AD16">
        <f>LN(株価データサンプル!AF18/株価データサンプル!AE18)</f>
        <v>-6.5459605915394459E-2</v>
      </c>
      <c r="AE16">
        <f>LN(株価データサンプル!AG18/株価データサンプル!AF18)</f>
        <v>-2.6052989117632541E-3</v>
      </c>
      <c r="AF16">
        <f>LN(株価データサンプル!AH18/株価データサンプル!AG18)</f>
        <v>3.3350675333486061E-2</v>
      </c>
      <c r="AG16">
        <f>LN(株価データサンプル!AI18/株価データサンプル!AH18)</f>
        <v>9.6914519504415403E-2</v>
      </c>
      <c r="AH16">
        <f>LN(株価データサンプル!AJ18/株価データサンプル!AI18)</f>
        <v>-6.8939376826919318E-3</v>
      </c>
      <c r="AI16">
        <f>LN(株価データサンプル!AK18/株価データサンプル!AJ18)</f>
        <v>-2.3085812484699621E-3</v>
      </c>
      <c r="AJ16">
        <f>LN(株価データサンプル!AL18/株価データサンプル!AK18)</f>
        <v>3.0769255044793202E-3</v>
      </c>
      <c r="AK16">
        <f>LN(株価データサンプル!AM18/株価データサンプル!AL18)</f>
        <v>2.3014969882791674E-3</v>
      </c>
      <c r="AL16">
        <f>LN(株価データサンプル!AN18/株価データサンプル!AM18)</f>
        <v>1.8975901459005604E-2</v>
      </c>
      <c r="AM16">
        <f>LN(株価データサンプル!AO18/株価データサンプル!AN18)</f>
        <v>-3.0120504699916095E-3</v>
      </c>
      <c r="AN16">
        <f>LN(株価データサンプル!AP18/株価データサンプル!AO18)</f>
        <v>6.1422812626406142E-2</v>
      </c>
      <c r="AO16">
        <f>LN(株価データサンプル!AQ18/株価データサンプル!AP18)</f>
        <v>5.8536502452572872E-2</v>
      </c>
      <c r="AP16">
        <f>LN(株価データサンプル!AR18/株価データサンプル!AQ18)</f>
        <v>7.534943724178679E-2</v>
      </c>
      <c r="AQ16">
        <f>LN(株価データサンプル!AS18/株価データサンプル!AR18)</f>
        <v>-8.3408580928641507E-2</v>
      </c>
      <c r="AR16">
        <f>LN(株価データサンプル!AT18/株価データサンプル!AS18)</f>
        <v>8.402873598727674E-2</v>
      </c>
      <c r="AS16">
        <f>LN(株価データサンプル!AU18/株価データサンプル!AT18)</f>
        <v>1.5990500618620819E-2</v>
      </c>
      <c r="AT16">
        <f>LN(株価データサンプル!AV18/株価データサンプル!AU18)</f>
        <v>3.3596441070720996E-2</v>
      </c>
      <c r="AU16">
        <f>LN(株価データサンプル!AW18/株価データサンプル!AV18)</f>
        <v>2.562749453973245E-2</v>
      </c>
      <c r="AV16">
        <f>LN(株価データサンプル!AX18/株価データサンプル!AW18)</f>
        <v>-7.8319064615371387E-2</v>
      </c>
      <c r="AW16">
        <f>LN(株価データサンプル!AY18/株価データサンプル!AX18)</f>
        <v>-1.8674141747954732E-3</v>
      </c>
      <c r="AX16">
        <f>LN(株価データサンプル!AZ18/株価データサンプル!AY18)</f>
        <v>9.3023926623134103E-3</v>
      </c>
      <c r="AY16">
        <f>LN(株価データサンプル!BA18/株価データサンプル!AZ18)</f>
        <v>6.8581264154529892E-2</v>
      </c>
      <c r="AZ16">
        <f>LN(株価データサンプル!BB18/株価データサンプル!BA18)</f>
        <v>-1.276119405683966E-2</v>
      </c>
      <c r="BA16">
        <f>LN(株価データサンプル!BC18/株価データサンプル!BB18)</f>
        <v>5.1760202298448986E-2</v>
      </c>
      <c r="BB16">
        <f>LN(株価データサンプル!BD18/株価データサンプル!BC18)</f>
        <v>2.8955860730136753E-2</v>
      </c>
      <c r="BC16">
        <f>LN(株価データサンプル!BE18/株価データサンプル!BD18)</f>
        <v>-4.0664943489565328E-2</v>
      </c>
      <c r="BD16">
        <f>LN(株価データサンプル!BF18/株価データサンプル!BE18)</f>
        <v>6.8805903177535141E-2</v>
      </c>
      <c r="BE16">
        <f>LN(株価データサンプル!BG18/株価データサンプル!BF18)</f>
        <v>-5.2120310285824555E-2</v>
      </c>
      <c r="BF16">
        <f>LN(株価データサンプル!BH18/株価データサンプル!BG18)</f>
        <v>-7.7519768043179359E-3</v>
      </c>
      <c r="BG16">
        <f>LN(株価データサンプル!BI18/株価データサンプル!BH18)</f>
        <v>6.0958903093383055E-3</v>
      </c>
      <c r="BH16">
        <f>LN(株価データサンプル!BJ18/株価データサンプル!BI18)</f>
        <v>-5.3913764659831179E-2</v>
      </c>
      <c r="BI16">
        <f>LN(株価データサンプル!BK18/株価データサンプル!BJ18)</f>
        <v>8.7083278917844138E-3</v>
      </c>
      <c r="BK16">
        <f t="shared" si="0"/>
        <v>1.4761570842915562E-2</v>
      </c>
      <c r="BL16">
        <f t="shared" si="1"/>
        <v>7.9204108583384725E-2</v>
      </c>
    </row>
    <row r="17" spans="1:64">
      <c r="A17" t="str">
        <f>株価データサンプル!A19</f>
        <v>ジョイフル本田</v>
      </c>
      <c r="B17">
        <f>LN(株価データサンプル!D19/株価データサンプル!C19)</f>
        <v>-5.0970892851559493E-2</v>
      </c>
      <c r="C17">
        <f>LN(株価データサンプル!E19/株価データサンプル!D19)</f>
        <v>-0.11046745302597098</v>
      </c>
      <c r="D17">
        <f>LN(株価データサンプル!F19/株価データサンプル!E19)</f>
        <v>-9.4750336545810804E-2</v>
      </c>
      <c r="E17">
        <f>LN(株価データサンプル!G19/株価データサンプル!F19)</f>
        <v>9.1545205596862328E-2</v>
      </c>
      <c r="F17">
        <f>LN(株価データサンプル!H19/株価データサンプル!G19)</f>
        <v>4.8560832669745521E-2</v>
      </c>
      <c r="G17">
        <f>LN(株価データサンプル!I19/株価データサンプル!H19)</f>
        <v>2.7894760018795504E-2</v>
      </c>
      <c r="H17">
        <f>LN(株価データサンプル!J19/株価データサンプル!I19)</f>
        <v>5.4262858559367001E-2</v>
      </c>
      <c r="I17">
        <f>LN(株価データサンプル!K19/株価データサンプル!J19)</f>
        <v>6.6736807360268741E-2</v>
      </c>
      <c r="J17">
        <f>LN(株価データサンプル!L19/株価データサンプル!K19)</f>
        <v>-3.9604012160969048E-3</v>
      </c>
      <c r="K17">
        <f>LN(株価データサンプル!M19/株価データサンプル!L19)</f>
        <v>0.12539654241824669</v>
      </c>
      <c r="L17">
        <f>LN(株価データサンプル!N19/株価データサンプル!M19)</f>
        <v>-5.5169864482366812E-2</v>
      </c>
      <c r="M17">
        <f>LN(株価データサンプル!O19/株価データサンプル!N19)</f>
        <v>-0.1100295711050753</v>
      </c>
      <c r="N17">
        <f>LN(株価データサンプル!P19/株価データサンプル!O19)</f>
        <v>1.8411703187877829E-2</v>
      </c>
      <c r="O17">
        <f>LN(株価データサンプル!Q19/株価データサンプル!P19)</f>
        <v>-6.4178225691410976E-2</v>
      </c>
      <c r="P17">
        <f>LN(株価データサンプル!R19/株価データサンプル!Q19)</f>
        <v>-3.2213619983654962E-2</v>
      </c>
      <c r="Q17">
        <f>LN(株価データサンプル!S19/株価データサンプル!R19)</f>
        <v>6.5514607110626566E-2</v>
      </c>
      <c r="R17">
        <f>LN(株価データサンプル!T19/株価データサンプル!S19)</f>
        <v>-6.477083615778205E-2</v>
      </c>
      <c r="S17">
        <f>LN(株価データサンプル!U19/株価データサンプル!T19)</f>
        <v>-2.8659578411717582E-2</v>
      </c>
      <c r="T17">
        <f>LN(株価データサンプル!V19/株価データサンプル!U19)</f>
        <v>3.5328739847998399E-2</v>
      </c>
      <c r="U17">
        <f>LN(株価データサンプル!W19/株価データサンプル!V19)</f>
        <v>1.8295424321081579E-2</v>
      </c>
      <c r="V17">
        <f>LN(株価データサンプル!X19/株価データサンプル!W19)</f>
        <v>1.7966706792454594E-2</v>
      </c>
      <c r="W17">
        <f>LN(株価データサンプル!Y19/株価データサンプル!X19)</f>
        <v>0.10021911615740756</v>
      </c>
      <c r="X17">
        <f>LN(株価データサンプル!Z19/株価データサンプル!Y19)</f>
        <v>7.062629678312525E-3</v>
      </c>
      <c r="Y17">
        <f>LN(株価データサンプル!AA19/株価データサンプル!Z19)</f>
        <v>-1.9212301778939326E-3</v>
      </c>
      <c r="Z17">
        <f>LN(株価データサンプル!AB19/株価データサンプル!AA19)</f>
        <v>-5.7384683780952482E-2</v>
      </c>
      <c r="AA17">
        <f>LN(株価データサンプル!AC19/株価データサンプル!AB19)</f>
        <v>3.2724121959000776E-2</v>
      </c>
      <c r="AB17">
        <f>LN(株価データサンプル!AD19/株価データサンプル!AC19)</f>
        <v>4.4965827982697174E-2</v>
      </c>
      <c r="AC17">
        <f>LN(株価データサンプル!AE19/株価データサンプル!AD19)</f>
        <v>-5.952597931402686E-2</v>
      </c>
      <c r="AD17">
        <f>LN(株価データサンプル!AF19/株価データサンプル!AE19)</f>
        <v>3.8579481967475189E-2</v>
      </c>
      <c r="AE17">
        <f>LN(株価データサンプル!AG19/株価データサンプル!AF19)</f>
        <v>2.3455908951977557E-2</v>
      </c>
      <c r="AF17">
        <f>LN(株価データサンプル!AH19/株価データサンプル!AG19)</f>
        <v>-7.5472056353829663E-3</v>
      </c>
      <c r="AG17">
        <f>LN(株価データサンプル!AI19/株価データサンプル!AH19)</f>
        <v>-8.8776740320174533E-3</v>
      </c>
      <c r="AH17">
        <f>LN(株価データサンプル!AJ19/株価データサンプル!AI19)</f>
        <v>0.10338404142583538</v>
      </c>
      <c r="AI17">
        <f>LN(株価データサンプル!AK19/株価データサンプル!AJ19)</f>
        <v>2.4398373371765689E-2</v>
      </c>
      <c r="AJ17">
        <f>LN(株価データサンプル!AL19/株価データサンプル!AK19)</f>
        <v>1.667631753512722E-2</v>
      </c>
      <c r="AK17">
        <f>LN(株価データサンプル!AM19/株価データサンプル!AL19)</f>
        <v>1.9110600712042923E-2</v>
      </c>
      <c r="AL17">
        <f>LN(株価データサンプル!AN19/株価データサンプル!AM19)</f>
        <v>4.3910783385338478E-2</v>
      </c>
      <c r="AM17">
        <f>LN(株価データサンプル!AO19/株価データサンプル!AN19)</f>
        <v>-3.6904556935450979E-2</v>
      </c>
      <c r="AN17">
        <f>LN(株価データサンプル!AP19/株価データサンプル!AO19)</f>
        <v>-7.0067562616716955E-2</v>
      </c>
      <c r="AO17">
        <f>LN(株価データサンプル!AQ19/株価データサンプル!AP19)</f>
        <v>-1.3337396896175528E-2</v>
      </c>
      <c r="AP17">
        <f>LN(株価データサンプル!AR19/株価データサンプル!AQ19)</f>
        <v>5.34217922681086E-2</v>
      </c>
      <c r="AQ17">
        <f>LN(株価データサンプル!AS19/株価データサンプル!AR19)</f>
        <v>-5.1672010544320926E-2</v>
      </c>
      <c r="AR17">
        <f>LN(株価データサンプル!AT19/株価データサンプル!AS19)</f>
        <v>-1.2313260233356901E-2</v>
      </c>
      <c r="AS17">
        <f>LN(株価データサンプル!AU19/株価データサンプル!AT19)</f>
        <v>-2.9334638577535498E-2</v>
      </c>
      <c r="AT17">
        <f>LN(株価データサンプル!AV19/株価データサンプル!AU19)</f>
        <v>4.1647898810892411E-2</v>
      </c>
      <c r="AU17">
        <f>LN(株価データサンプル!AW19/株価データサンプル!AV19)</f>
        <v>2.4180798197214613E-2</v>
      </c>
      <c r="AV17">
        <f>LN(株価データサンプル!AX19/株価データサンプル!AW19)</f>
        <v>5.6721649524663744E-3</v>
      </c>
      <c r="AW17">
        <f>LN(株価データサンプル!AY19/株価データサンプル!AX19)</f>
        <v>1.3483350337286988E-2</v>
      </c>
      <c r="AX17">
        <f>LN(株価データサンプル!AZ19/株価データサンプル!AY19)</f>
        <v>2.9688821527921717E-2</v>
      </c>
      <c r="AY17">
        <f>LN(株価データサンプル!BA19/株価データサンプル!AZ19)</f>
        <v>5.9923337161765511E-2</v>
      </c>
      <c r="AZ17">
        <f>LN(株価データサンプル!BB19/株価データサンプル!BA19)</f>
        <v>6.2783154852637885E-2</v>
      </c>
      <c r="BA17">
        <f>LN(株価データサンプル!BC19/株価データサンプル!BB19)</f>
        <v>4.8630432518265744E-2</v>
      </c>
      <c r="BB17">
        <f>LN(株価データサンプル!BD19/株価データサンプル!BC19)</f>
        <v>2.4792795702922053E-2</v>
      </c>
      <c r="BC17">
        <f>LN(株価データサンプル!BE19/株価データサンプル!BD19)</f>
        <v>-5.72631807337061E-2</v>
      </c>
      <c r="BD17">
        <f>LN(株価データサンプル!BF19/株価データサンプル!BE19)</f>
        <v>5.1010368936519036E-2</v>
      </c>
      <c r="BE17">
        <f>LN(株価データサンプル!BG19/株価データサンプル!BF19)</f>
        <v>-2.4031988556581698E-2</v>
      </c>
      <c r="BF17">
        <f>LN(株価データサンプル!BH19/株価データサンプル!BG19)</f>
        <v>-1.4794537065838822E-2</v>
      </c>
      <c r="BG17">
        <f>LN(株価データサンプル!BI19/株価データサンプル!BH19)</f>
        <v>-3.0262356617809065E-2</v>
      </c>
      <c r="BH17">
        <f>LN(株価データサンプル!BJ19/株価データサンプル!BI19)</f>
        <v>-8.6789358658388525E-3</v>
      </c>
      <c r="BI17">
        <f>LN(株価データサンプル!BK19/株価データサンプル!BJ19)</f>
        <v>-0.13235601999983804</v>
      </c>
      <c r="BK17">
        <f t="shared" si="0"/>
        <v>3.4698718203569532E-3</v>
      </c>
      <c r="BL17">
        <f t="shared" si="1"/>
        <v>5.4425237789404841E-2</v>
      </c>
    </row>
    <row r="18" spans="1:64">
      <c r="A18" t="str">
        <f>株価データサンプル!A20</f>
        <v>オオバ</v>
      </c>
      <c r="B18">
        <f>LN(株価データサンプル!D20/株価データサンプル!C20)</f>
        <v>0.13030454245442463</v>
      </c>
      <c r="C18">
        <f>LN(株価データサンプル!E20/株価データサンプル!D20)</f>
        <v>-7.7594726034896339E-2</v>
      </c>
      <c r="D18">
        <f>LN(株価データサンプル!F20/株価データサンプル!E20)</f>
        <v>-0.32673979970298184</v>
      </c>
      <c r="E18">
        <f>LN(株価データサンプル!G20/株価データサンプル!F20)</f>
        <v>-0.15161153330858199</v>
      </c>
      <c r="F18">
        <f>LN(株価データサンプル!H20/株価データサンプル!G20)</f>
        <v>0.18166387837498377</v>
      </c>
      <c r="G18">
        <f>LN(株価データサンプル!I20/株価データサンプル!H20)</f>
        <v>7.5985906977922055E-2</v>
      </c>
      <c r="H18">
        <f>LN(株価データサンプル!J20/株価データサンプル!I20)</f>
        <v>-6.1291765038701228E-2</v>
      </c>
      <c r="I18">
        <f>LN(株価データサンプル!K20/株価データサンプル!J20)</f>
        <v>4.1275700332231602E-2</v>
      </c>
      <c r="J18">
        <f>LN(株価データサンプル!L20/株価データサンプル!K20)</f>
        <v>8.7788679788191687E-2</v>
      </c>
      <c r="K18">
        <f>LN(株価データサンプル!M20/株価データサンプル!L20)</f>
        <v>0.20299898522174226</v>
      </c>
      <c r="L18">
        <f>LN(株価データサンプル!N20/株価データサンプル!M20)</f>
        <v>-0.17768117723745236</v>
      </c>
      <c r="M18">
        <f>LN(株価データサンプル!O20/株価データサンプル!N20)</f>
        <v>4.481401578979264E-2</v>
      </c>
      <c r="N18">
        <f>LN(株価データサンプル!P20/株価データサンプル!O20)</f>
        <v>-4.6203870078846847E-2</v>
      </c>
      <c r="O18">
        <f>LN(株価データサンプル!Q20/株価データサンプル!P20)</f>
        <v>1.5183176421390028E-2</v>
      </c>
      <c r="P18">
        <f>LN(株価データサンプル!R20/株価データサンプル!Q20)</f>
        <v>1.0899290458035638E-2</v>
      </c>
      <c r="Q18">
        <f>LN(株価データサンプル!S20/株価データサンプル!R20)</f>
        <v>0.10536051565782635</v>
      </c>
      <c r="R18">
        <f>LN(株価データサンプル!T20/株価データサンプル!S20)</f>
        <v>3.2396354393755628E-2</v>
      </c>
      <c r="S18">
        <f>LN(株価データサンプル!U20/株価データサンプル!T20)</f>
        <v>-8.3689648781306109E-2</v>
      </c>
      <c r="T18">
        <f>LN(株価データサンプル!V20/株価データサンプル!U20)</f>
        <v>1.9072415376387396E-2</v>
      </c>
      <c r="U18">
        <f>LN(株価データサンプル!W20/株価データサンプル!V20)</f>
        <v>1.1271252699625972E-2</v>
      </c>
      <c r="V18">
        <f>LN(株価データサンプル!X20/株価データサンプル!W20)</f>
        <v>2.2168395505666637E-2</v>
      </c>
      <c r="W18">
        <f>LN(株価データサンプル!Y20/株価データサンプル!X20)</f>
        <v>3.2357526339474779E-2</v>
      </c>
      <c r="X18">
        <f>LN(株価データサンプル!Z20/株価データサンプル!Y20)</f>
        <v>-4.338029563022517E-2</v>
      </c>
      <c r="Y18">
        <f>LN(株価データサンプル!AA20/株価データサンプル!Z20)</f>
        <v>-6.6181906881301225E-2</v>
      </c>
      <c r="Z18">
        <f>LN(株価データサンプル!AB20/株価データサンプル!AA20)</f>
        <v>3.7447887565497544E-2</v>
      </c>
      <c r="AA18">
        <f>LN(株価データサンプル!AC20/株価データサンプル!AB20)</f>
        <v>-7.2257292231358627E-2</v>
      </c>
      <c r="AB18">
        <f>LN(株価データサンプル!AD20/株価データサンプル!AC20)</f>
        <v>-6.1817431023210509E-2</v>
      </c>
      <c r="AC18">
        <f>LN(株価データサンプル!AE20/株価データサンプル!AD20)</f>
        <v>9.6626835689071697E-2</v>
      </c>
      <c r="AD18">
        <f>LN(株価データサンプル!AF20/株価データサンプル!AE20)</f>
        <v>2.3408090898014804E-2</v>
      </c>
      <c r="AE18">
        <f>LN(株価データサンプル!AG20/株価データサンプル!AF20)</f>
        <v>-4.8725898882304684E-2</v>
      </c>
      <c r="AF18">
        <f>LN(株価データサンプル!AH20/株価データサンプル!AG20)</f>
        <v>6.7249749076739159E-3</v>
      </c>
      <c r="AG18">
        <f>LN(株価データサンプル!AI20/株価データサンプル!AH20)</f>
        <v>-4.5244179789464947E-2</v>
      </c>
      <c r="AH18">
        <f>LN(株価データサンプル!AJ20/株価データサンプル!AI20)</f>
        <v>1.530997197142051E-2</v>
      </c>
      <c r="AI18">
        <f>LN(株価データサンプル!AK20/株価データサンプル!AJ20)</f>
        <v>-4.6651568618046431E-2</v>
      </c>
      <c r="AJ18">
        <f>LN(株価データサンプル!AL20/株価データサンプル!AK20)</f>
        <v>-1.1644964196879855E-2</v>
      </c>
      <c r="AK18">
        <f>LN(株価データサンプル!AM20/株価データサンプル!AL20)</f>
        <v>-2.9325534212776413E-3</v>
      </c>
      <c r="AL18">
        <f>LN(株価データサンプル!AN20/株価データサンプル!AM20)</f>
        <v>-4.0454954692313638E-2</v>
      </c>
      <c r="AM18">
        <f>LN(株価データサンプル!AO20/株価データサンプル!AN20)</f>
        <v>0.10444266336759739</v>
      </c>
      <c r="AN18">
        <f>LN(株価データサンプル!AP20/株価データサンプル!AO20)</f>
        <v>-5.5248759319698037E-3</v>
      </c>
      <c r="AO18">
        <f>LN(株価データサンプル!AQ20/株価データサンプル!AP20)</f>
        <v>7.7268780790811092E-2</v>
      </c>
      <c r="AP18">
        <f>LN(株価データサンプル!AR20/株価データサンプル!AQ20)</f>
        <v>1.0204170174241668E-2</v>
      </c>
      <c r="AQ18">
        <f>LN(株価データサンプル!AS20/株価データサンプル!AR20)</f>
        <v>-8.7472950965052865E-2</v>
      </c>
      <c r="AR18">
        <f>LN(株価データサンプル!AT20/株価データサンプル!AS20)</f>
        <v>7.7268780790811092E-2</v>
      </c>
      <c r="AS18">
        <f>LN(株価データサンプル!AU20/株価データサンプル!AT20)</f>
        <v>0.14974538635934198</v>
      </c>
      <c r="AT18">
        <f>LN(株価データサンプル!AV20/株価データサンプル!AU20)</f>
        <v>-2.6847250036188052E-2</v>
      </c>
      <c r="AU18">
        <f>LN(株価データサンプル!AW20/株価データサンプル!AV20)</f>
        <v>7.7422847647410725E-2</v>
      </c>
      <c r="AV18">
        <f>LN(株価データサンプル!AX20/株価データサンプル!AW20)</f>
        <v>-4.287902305923362E-2</v>
      </c>
      <c r="AW18">
        <f>LN(株価データサンプル!AY20/株価データサンプル!AX20)</f>
        <v>5.4615100255219432E-3</v>
      </c>
      <c r="AX18">
        <f>LN(株価データサンプル!AZ20/株価データサンプル!AY20)</f>
        <v>0</v>
      </c>
      <c r="AY18">
        <f>LN(株価データサンプル!BA20/株価データサンプル!AZ20)</f>
        <v>0.10044650085539718</v>
      </c>
      <c r="AZ18">
        <f>LN(株価データサンプル!BB20/株価データサンプル!BA20)</f>
        <v>-1.8896633891289497E-2</v>
      </c>
      <c r="BA18">
        <f>LN(株価データサンプル!BC20/株価データサンプル!BB20)</f>
        <v>3.3566823639083199E-2</v>
      </c>
      <c r="BB18">
        <f>LN(株価データサンプル!BD20/株価データサンプル!BC20)</f>
        <v>9.0000432816094891E-2</v>
      </c>
      <c r="BC18">
        <f>LN(株価データサンプル!BE20/株価データサンプル!BD20)</f>
        <v>-9.291730411121811E-2</v>
      </c>
      <c r="BD18">
        <f>LN(株価データサンプル!BF20/株価データサンプル!BE20)</f>
        <v>5.2169249477868614E-2</v>
      </c>
      <c r="BE18">
        <f>LN(株価データサンプル!BG20/株価データサンプル!BF20)</f>
        <v>1.0115028770111747E-2</v>
      </c>
      <c r="BF18">
        <f>LN(株価データサンプル!BH20/株価データサンプル!BG20)</f>
        <v>-5.6459019056900019E-2</v>
      </c>
      <c r="BG18">
        <f>LN(株価データサンプル!BI20/株価データサンプル!BH20)</f>
        <v>-1.3645435896913758E-2</v>
      </c>
      <c r="BH18">
        <f>LN(株価データサンプル!BJ20/株価データサンプル!BI20)</f>
        <v>-5.9055289740414102E-3</v>
      </c>
      <c r="BI18">
        <f>LN(株価データサンプル!BK20/株価データサンプル!BJ20)</f>
        <v>1.3725705679874824E-2</v>
      </c>
      <c r="BK18">
        <f t="shared" si="0"/>
        <v>4.6707448290889877E-3</v>
      </c>
      <c r="BL18">
        <f t="shared" si="1"/>
        <v>8.4995521049658171E-2</v>
      </c>
    </row>
    <row r="19" spans="1:64">
      <c r="A19" t="str">
        <f>株価データサンプル!A21</f>
        <v>石井食品</v>
      </c>
      <c r="B19">
        <f>LN(株価データサンプル!D21/株価データサンプル!C21)</f>
        <v>-2.2472855852058628E-2</v>
      </c>
      <c r="C19">
        <f>LN(株価データサンプル!E21/株価データサンプル!D21)</f>
        <v>-1.8349138668196541E-2</v>
      </c>
      <c r="D19">
        <f>LN(株価データサンプル!F21/株価データサンプル!E21)</f>
        <v>-7.1973499625089227E-2</v>
      </c>
      <c r="E19">
        <f>LN(株価データサンプル!G21/株価データサンプル!F21)</f>
        <v>0</v>
      </c>
      <c r="F19">
        <f>LN(株価データサンプル!H21/株価データサンプル!G21)</f>
        <v>7.1973499625089241E-2</v>
      </c>
      <c r="G19">
        <f>LN(株価データサンプル!I21/株価データサンプル!H21)</f>
        <v>4.6189458562944583E-3</v>
      </c>
      <c r="H19">
        <f>LN(株価データサンプル!J21/株価データサンプル!I21)</f>
        <v>9.1743762760412295E-3</v>
      </c>
      <c r="I19">
        <f>LN(株価データサンプル!K21/株価データサンプル!J21)</f>
        <v>-6.1195561026919795E-2</v>
      </c>
      <c r="J19">
        <f>LN(株価データサンプル!L21/株価データサンプル!K21)</f>
        <v>7.480121308269834E-2</v>
      </c>
      <c r="K19">
        <f>LN(株価データサンプル!M21/株価データサンプル!L21)</f>
        <v>-9.0498355199179273E-3</v>
      </c>
      <c r="L19">
        <f>LN(株価データサンプル!N21/株価データサンプル!M21)</f>
        <v>4.5351551653913628E-3</v>
      </c>
      <c r="M19">
        <f>LN(株価データサンプル!O21/株価データサンプル!N21)</f>
        <v>1.3483350337286988E-2</v>
      </c>
      <c r="N19">
        <f>LN(株価データサンプル!P21/株価データサンプル!O21)</f>
        <v>4.4543503493803746E-3</v>
      </c>
      <c r="O19">
        <f>LN(株価データサンプル!Q21/株価データサンプル!P21)</f>
        <v>3.4938051361280441E-2</v>
      </c>
      <c r="P19">
        <f>LN(株価データサンプル!R21/株価データサンプル!Q21)</f>
        <v>2.1232220105774118E-2</v>
      </c>
      <c r="Q19">
        <f>LN(株価データサンプル!S21/株価データサンプル!R21)</f>
        <v>-1.2685159527315687E-2</v>
      </c>
      <c r="R19">
        <f>LN(株価データサンプル!T21/株価データサンプル!S21)</f>
        <v>2.1053409197832263E-2</v>
      </c>
      <c r="S19">
        <f>LN(株価データサンプル!U21/株価データサンプル!T21)</f>
        <v>8.2988028146950641E-3</v>
      </c>
      <c r="T19">
        <f>LN(株価データサンプル!V21/株価データサンプル!U21)</f>
        <v>1.6393809775676352E-2</v>
      </c>
      <c r="U19">
        <f>LN(株価データサンプル!W21/株価データサンプル!V21)</f>
        <v>-8.1633106391609811E-3</v>
      </c>
      <c r="V19">
        <f>LN(株価データサンプル!X21/株価データサンプル!W21)</f>
        <v>-4.1067819526533593E-3</v>
      </c>
      <c r="W19">
        <f>LN(株価データサンプル!Y21/株価データサンプル!X21)</f>
        <v>2.0367302824433733E-2</v>
      </c>
      <c r="X19">
        <f>LN(株価データサンプル!Z21/株価データサンプル!Y21)</f>
        <v>-2.0367302824433699E-2</v>
      </c>
      <c r="Y19">
        <f>LN(株価データサンプル!AA21/株価データサンプル!Z21)</f>
        <v>-4.1237171838620409E-3</v>
      </c>
      <c r="Z19">
        <f>LN(株価データサンプル!AB21/株価データサンプル!AA21)</f>
        <v>8.2304991365154435E-3</v>
      </c>
      <c r="AA19">
        <f>LN(株価データサンプル!AC21/株価データサンプル!AB21)</f>
        <v>4.0899852515250664E-3</v>
      </c>
      <c r="AB19">
        <f>LN(株価データサンプル!AD21/株価データサンプル!AC21)</f>
        <v>1.6194685919980606E-2</v>
      </c>
      <c r="AC19">
        <f>LN(株価データサンプル!AE21/株価データサンプル!AD21)</f>
        <v>-8.0645598367304078E-3</v>
      </c>
      <c r="AD19">
        <f>LN(株価データサンプル!AF21/株価データサンプル!AE21)</f>
        <v>-1.6326893287428781E-2</v>
      </c>
      <c r="AE19">
        <f>LN(株価データサンプル!AG21/株価データサンプル!AF21)</f>
        <v>1.2270092591814401E-2</v>
      </c>
      <c r="AF19">
        <f>LN(株価データサンプル!AH21/株価データサンプル!AG21)</f>
        <v>-8.1633106391609811E-3</v>
      </c>
      <c r="AG19">
        <f>LN(株価データサンプル!AI21/株価データサンプル!AH21)</f>
        <v>4.0899852515250664E-3</v>
      </c>
      <c r="AH19">
        <f>LN(株価データサンプル!AJ21/株価データサンプル!AI21)</f>
        <v>4.0733253876358688E-3</v>
      </c>
      <c r="AI19">
        <f>LN(株価データサンプル!AK21/株価データサンプル!AJ21)</f>
        <v>-1.2270092591814359E-2</v>
      </c>
      <c r="AJ19">
        <f>LN(株価データサンプル!AL21/株価データサンプル!AK21)</f>
        <v>0</v>
      </c>
      <c r="AK19">
        <f>LN(株価データサンプル!AM21/株価データサンプル!AL21)</f>
        <v>4.1067819526535024E-3</v>
      </c>
      <c r="AL19">
        <f>LN(株価データサンプル!AN21/株価データサンプル!AM21)</f>
        <v>8.1633106391608354E-3</v>
      </c>
      <c r="AM19">
        <f>LN(株価データサンプル!AO21/株価データサンプル!AN21)</f>
        <v>0</v>
      </c>
      <c r="AN19">
        <f>LN(株価データサンプル!AP21/株価データサンプル!AO21)</f>
        <v>1.6129381929883717E-2</v>
      </c>
      <c r="AO19">
        <f>LN(株価データサンプル!AQ21/株価データサンプル!AP21)</f>
        <v>-1.2072581234269249E-2</v>
      </c>
      <c r="AP19">
        <f>LN(株価データサンプル!AR21/株価データサンプル!AQ21)</f>
        <v>4.0404095370049058E-3</v>
      </c>
      <c r="AQ19">
        <f>LN(株価データサンプル!AS21/株価データサンプル!AR21)</f>
        <v>-8.0972102326193618E-3</v>
      </c>
      <c r="AR19">
        <f>LN(株価データサンプル!AT21/株価データサンプル!AS21)</f>
        <v>4.056800695614469E-3</v>
      </c>
      <c r="AS19">
        <f>LN(株価データサンプル!AU21/株価データサンプル!AT21)</f>
        <v>0.14310084364067324</v>
      </c>
      <c r="AT19">
        <f>LN(株価データサンプル!AV21/株価データサンプル!AU21)</f>
        <v>1.0471299867295437E-2</v>
      </c>
      <c r="AU19">
        <f>LN(株価データサンプル!AW21/株価データサンプル!AV21)</f>
        <v>4.08219945202552E-2</v>
      </c>
      <c r="AV19">
        <f>LN(株価データサンプル!AX21/株価データサンプル!AW21)</f>
        <v>-6.5427805322455318E-2</v>
      </c>
      <c r="AW19">
        <f>LN(株価データサンプル!AY21/株価データサンプル!AX21)</f>
        <v>2.8072018778686307E-2</v>
      </c>
      <c r="AX19">
        <f>LN(株価データサンプル!AZ21/株価データサンプル!AY21)</f>
        <v>7.6576499697050299E-2</v>
      </c>
      <c r="AY19">
        <f>LN(株価データサンプル!BA21/株価データサンプル!AZ21)</f>
        <v>6.5139302170961449E-2</v>
      </c>
      <c r="AZ19">
        <f>LN(株価データサンプル!BB21/株価データサンプル!BA21)</f>
        <v>-1.5128881596300089E-2</v>
      </c>
      <c r="BA19">
        <f>LN(株価データサンプル!BC21/株価データサンプル!BB21)</f>
        <v>3.593200922606337E-2</v>
      </c>
      <c r="BB19">
        <f>LN(株価データサンプル!BD21/株価データサンプル!BC21)</f>
        <v>-5.4394072065798806E-2</v>
      </c>
      <c r="BC19">
        <f>LN(株価データサンプル!BE21/株価データサンプル!BD21)</f>
        <v>-6.4124528169538675E-2</v>
      </c>
      <c r="BD19">
        <f>LN(株価データサンプル!BF21/株価データサンプル!BE21)</f>
        <v>6.6006840313520927E-3</v>
      </c>
      <c r="BE19">
        <f>LN(株価データサンプル!BG21/株価データサンプル!BF21)</f>
        <v>9.820046180975513E-3</v>
      </c>
      <c r="BF19">
        <f>LN(株価データサンプル!BH21/株価データサンプル!BG21)</f>
        <v>-3.2626456348163824E-3</v>
      </c>
      <c r="BG19">
        <f>LN(株価データサンプル!BI21/株価データサンプル!BH21)</f>
        <v>-9.8522964430115944E-3</v>
      </c>
      <c r="BH19">
        <f>LN(株価データサンプル!BJ21/株価データサンプル!BI21)</f>
        <v>-9.950330853168092E-3</v>
      </c>
      <c r="BI19">
        <f>LN(株価データサンプル!BK21/株価データサンプル!BJ21)</f>
        <v>1.3245226750020723E-2</v>
      </c>
      <c r="BK19">
        <f t="shared" si="0"/>
        <v>5.0154549866966913E-3</v>
      </c>
      <c r="BL19">
        <f t="shared" si="1"/>
        <v>3.4447014702353965E-2</v>
      </c>
    </row>
    <row r="20" spans="1:64">
      <c r="A20" t="str">
        <f>株価データサンプル!A22</f>
        <v>オイレス工業</v>
      </c>
      <c r="B20">
        <f>LN(株価データサンプル!D22/株価データサンプル!C22)</f>
        <v>-1.195471499787833E-2</v>
      </c>
      <c r="C20">
        <f>LN(株価データサンプル!E22/株価データサンプル!D22)</f>
        <v>-7.5542925069652878E-2</v>
      </c>
      <c r="D20">
        <f>LN(株価データサンプル!F22/株価データサンプル!E22)</f>
        <v>-8.3832847031202043E-2</v>
      </c>
      <c r="E20">
        <f>LN(株価データサンプル!G22/株価データサンプル!F22)</f>
        <v>-3.5897608909576981E-2</v>
      </c>
      <c r="F20">
        <f>LN(株価データサンプル!H22/株価データサンプル!G22)</f>
        <v>2.3122417420854212E-2</v>
      </c>
      <c r="G20">
        <f>LN(株価データサンプル!I22/株価データサンプル!H22)</f>
        <v>1.4184634991956381E-2</v>
      </c>
      <c r="H20">
        <f>LN(株価データサンプル!J22/株価データサンプル!I22)</f>
        <v>-1.6329791338344574E-2</v>
      </c>
      <c r="I20">
        <f>LN(株価データサンプル!K22/株価データサンプル!J22)</f>
        <v>-3.5705067784709443E-2</v>
      </c>
      <c r="J20">
        <f>LN(株価データサンプル!L22/株価データサンプル!K22)</f>
        <v>2.0558727021036567E-2</v>
      </c>
      <c r="K20">
        <f>LN(株価データサンプル!M22/株価データサンプル!L22)</f>
        <v>0.10477895123317681</v>
      </c>
      <c r="L20">
        <f>LN(株価データサンプル!N22/株価データサンプル!M22)</f>
        <v>-4.8953790120872927E-2</v>
      </c>
      <c r="M20">
        <f>LN(株価データサンプル!O22/株価データサンプル!N22)</f>
        <v>9.1240679744567552E-2</v>
      </c>
      <c r="N20">
        <f>LN(株価データサンプル!P22/株価データサンプル!O22)</f>
        <v>1.7413375325197912E-2</v>
      </c>
      <c r="O20">
        <f>LN(株価データサンプル!Q22/株価データサンプル!P22)</f>
        <v>4.3063739266868181E-3</v>
      </c>
      <c r="P20">
        <f>LN(株価データサンプル!R22/株価データサンプル!Q22)</f>
        <v>8.5575094352229285E-3</v>
      </c>
      <c r="Q20">
        <f>LN(株価データサンプル!S22/株価データサンプル!R22)</f>
        <v>3.0568757174731519E-2</v>
      </c>
      <c r="R20">
        <f>LN(株価データサンプル!T22/株価データサンプル!S22)</f>
        <v>-8.497417047366275E-2</v>
      </c>
      <c r="S20">
        <f>LN(株価データサンプル!U22/株価データサンプル!T22)</f>
        <v>-6.4474755909696485E-3</v>
      </c>
      <c r="T20">
        <f>LN(株価データサンプル!V22/株価データサンプル!U22)</f>
        <v>1.2928250023051713E-3</v>
      </c>
      <c r="U20">
        <f>LN(株価データサンプル!W22/株価データサンプル!V22)</f>
        <v>4.1751794680221756E-2</v>
      </c>
      <c r="V20">
        <f>LN(株価データサンプル!X22/株価データサンプル!W22)</f>
        <v>6.1766718917291366E-3</v>
      </c>
      <c r="W20">
        <f>LN(株価データサンプル!Y22/株価データサンプル!X22)</f>
        <v>1.4063209456017141E-2</v>
      </c>
      <c r="X20">
        <f>LN(株価データサンプル!Z22/株価データサンプル!Y22)</f>
        <v>2.5181186630159849E-2</v>
      </c>
      <c r="Y20">
        <f>LN(株価データサンプル!AA22/株価データサンプル!Z22)</f>
        <v>-2.7612798770531966E-2</v>
      </c>
      <c r="Z20">
        <f>LN(株価データサンプル!AB22/株価データサンプル!AA22)</f>
        <v>2.7612798770532021E-2</v>
      </c>
      <c r="AA20">
        <f>LN(株価データサンプル!AC22/株価データサンプル!AB22)</f>
        <v>-5.3508203811085418E-2</v>
      </c>
      <c r="AB20">
        <f>LN(株価データサンプル!AD22/株価データサンプル!AC22)</f>
        <v>-1.8755866704947225E-3</v>
      </c>
      <c r="AC20">
        <f>LN(株価データサンプル!AE22/株価データサンプル!AD22)</f>
        <v>-5.3337408382750431E-2</v>
      </c>
      <c r="AD20">
        <f>LN(株価データサンプル!AF22/株価データサンプル!AE22)</f>
        <v>-1.1952333523841171E-2</v>
      </c>
      <c r="AE20">
        <f>LN(株価データサンプル!AG22/株価データサンプル!AF22)</f>
        <v>3.3500669730043994E-2</v>
      </c>
      <c r="AF20">
        <f>LN(株価データサンプル!AH22/株価データサンプル!AG22)</f>
        <v>-1.4313842305270098E-2</v>
      </c>
      <c r="AG20">
        <f>LN(株価データサンプル!AI22/株価データサンプル!AH22)</f>
        <v>4.6728500989551898E-2</v>
      </c>
      <c r="AH20">
        <f>LN(株価データサンプル!AJ22/株価データサンプル!AI22)</f>
        <v>-5.6606750561214697E-2</v>
      </c>
      <c r="AI20">
        <f>LN(株価データサンプル!AK22/株価データサンプル!AJ22)</f>
        <v>-2.4113693498819321E-2</v>
      </c>
      <c r="AJ20">
        <f>LN(株価データサンプル!AL22/株価データサンプル!AK22)</f>
        <v>1.2799096918842434E-2</v>
      </c>
      <c r="AK20">
        <f>LN(株価データサンプル!AM22/株価データサンプル!AL22)</f>
        <v>0</v>
      </c>
      <c r="AL20">
        <f>LN(株価データサンプル!AN22/株価データサンプル!AM22)</f>
        <v>-2.1651725383038847E-2</v>
      </c>
      <c r="AM20">
        <f>LN(株価データサンプル!AO22/株価データサンプル!AN22)</f>
        <v>5.3923212053437045E-2</v>
      </c>
      <c r="AN20">
        <f>LN(株価データサンプル!AP22/株価データサンプル!AO22)</f>
        <v>6.6440470196438173E-2</v>
      </c>
      <c r="AO20">
        <f>LN(株価データサンプル!AQ22/株価データサンプル!AP22)</f>
        <v>1.862474983770564E-2</v>
      </c>
      <c r="AP20">
        <f>LN(株価データサンプル!AR22/株価データサンプル!AQ22)</f>
        <v>2.061928720273561E-2</v>
      </c>
      <c r="AQ20">
        <f>LN(株価データサンプル!AS22/株価データサンプル!AR22)</f>
        <v>8.5990447855522512E-2</v>
      </c>
      <c r="AR20">
        <f>LN(株価データサンプル!AT22/株価データサンプル!AS22)</f>
        <v>6.4237512757231982E-2</v>
      </c>
      <c r="AS20">
        <f>LN(株価データサンプル!AU22/株価データサンプル!AT22)</f>
        <v>-2.8500656805798795E-2</v>
      </c>
      <c r="AT20">
        <f>LN(株価データサンプル!AV22/株価データサンプル!AU22)</f>
        <v>6.4957896274772289E-2</v>
      </c>
      <c r="AU20">
        <f>LN(株価データサンプル!AW22/株価データサンプル!AV22)</f>
        <v>-2.8959078870148397E-2</v>
      </c>
      <c r="AV20">
        <f>LN(株価データサンプル!AX22/株価データサンプル!AW22)</f>
        <v>-5.2132396597472347E-2</v>
      </c>
      <c r="AW20">
        <f>LN(株価データサンプル!AY22/株価データサンプル!AX22)</f>
        <v>2.487174838858057E-2</v>
      </c>
      <c r="AX20">
        <f>LN(株価データサンプル!AZ22/株価データサンプル!AY22)</f>
        <v>1.3723214095822972E-2</v>
      </c>
      <c r="AY20">
        <f>LN(株価データサンプル!BA22/株価データサンプル!AZ22)</f>
        <v>7.7204061317346265E-2</v>
      </c>
      <c r="AZ20">
        <f>LN(株価データサンプル!BB22/株価データサンプル!BA22)</f>
        <v>-3.8099846232270404E-2</v>
      </c>
      <c r="BA20">
        <f>LN(株価データサンプル!BC22/株価データサンプル!BB22)</f>
        <v>9.6192403064015844E-2</v>
      </c>
      <c r="BB20">
        <f>LN(株価データサンプル!BD22/株価データサンプル!BC22)</f>
        <v>5.1557809664850116E-2</v>
      </c>
      <c r="BC20">
        <f>LN(株価データサンプル!BE22/株価データサンプル!BD22)</f>
        <v>-5.7749779912771138E-2</v>
      </c>
      <c r="BD20">
        <f>LN(株価データサンプル!BF22/株価データサンプル!BE22)</f>
        <v>3.5305475503276069E-2</v>
      </c>
      <c r="BE20">
        <f>LN(株価データサンプル!BG22/株価データサンプル!BF22)</f>
        <v>1.2343208422991223E-2</v>
      </c>
      <c r="BF20">
        <f>LN(株価データサンプル!BH22/株価データサンプル!BG22)</f>
        <v>-0.10988285236463709</v>
      </c>
      <c r="BG20">
        <f>LN(株価データサンプル!BI22/株価データサンプル!BH22)</f>
        <v>-3.9485148490938461E-2</v>
      </c>
      <c r="BH20">
        <f>LN(株価データサンプル!BJ22/株価データサンプル!BI22)</f>
        <v>-1.7340043086679909E-2</v>
      </c>
      <c r="BI20">
        <f>LN(株価データサンプル!BK22/株価データサンプル!BJ22)</f>
        <v>0.14446589520853476</v>
      </c>
      <c r="BK20">
        <f t="shared" si="0"/>
        <v>5.2922505933577077E-3</v>
      </c>
      <c r="BL20">
        <f t="shared" si="1"/>
        <v>5.0211603717234612E-2</v>
      </c>
    </row>
    <row r="21" spans="1:64">
      <c r="A21" t="str">
        <f>株価データサンプル!A23</f>
        <v>朝日放送グループホールディングス</v>
      </c>
      <c r="B21">
        <f>LN(株価データサンプル!D23/株価データサンプル!C23)</f>
        <v>4.8919204752874493E-2</v>
      </c>
      <c r="C21">
        <f>LN(株価データサンプル!E23/株価データサンプル!D23)</f>
        <v>-3.4124045836127534E-2</v>
      </c>
      <c r="D21">
        <f>LN(株価データサンプル!F23/株価データサンプル!E23)</f>
        <v>-9.5176677367707088E-2</v>
      </c>
      <c r="E21">
        <f>LN(株価データサンプル!G23/株価データサンプル!F23)</f>
        <v>1.4577517618157424E-2</v>
      </c>
      <c r="F21">
        <f>LN(株価データサンプル!H23/株価データサンプル!G23)</f>
        <v>2.8901754222334236E-3</v>
      </c>
      <c r="G21">
        <f>LN(株価データサンプル!I23/株価データサンプル!H23)</f>
        <v>5.8840500022933395E-2</v>
      </c>
      <c r="H21">
        <f>LN(株価データサンプル!J23/株価データサンプル!I23)</f>
        <v>4.6520015634892907E-2</v>
      </c>
      <c r="I21">
        <f>LN(株価データサンプル!K23/株価データサンプル!J23)</f>
        <v>-7.550755250814517E-2</v>
      </c>
      <c r="J21">
        <f>LN(株価データサンプル!L23/株価データサンプル!K23)</f>
        <v>4.1928782600359578E-3</v>
      </c>
      <c r="K21">
        <f>LN(株価データサンプル!M23/株価データサンプル!L23)</f>
        <v>-5.5944201853244365E-3</v>
      </c>
      <c r="L21">
        <f>LN(株価データサンプル!N23/株価データサンプル!M23)</f>
        <v>-5.3288344371331876E-2</v>
      </c>
      <c r="M21">
        <f>LN(株価データサンプル!O23/株価データサンプル!N23)</f>
        <v>2.4836923146939104E-2</v>
      </c>
      <c r="N21">
        <f>LN(株価データサンプル!P23/株価データサンプル!O23)</f>
        <v>-1.4440435722336913E-3</v>
      </c>
      <c r="O21">
        <f>LN(株価データサンプル!Q23/株価データサンプル!P23)</f>
        <v>1.0064786616140617E-2</v>
      </c>
      <c r="P21">
        <f>LN(株価データサンプル!R23/株価データサンプル!Q23)</f>
        <v>1.1379923662762581E-2</v>
      </c>
      <c r="Q21">
        <f>LN(株価データサンプル!S23/株価データサンプル!R23)</f>
        <v>2.7895811636946696E-2</v>
      </c>
      <c r="R21">
        <f>LN(株価データサンプル!T23/株価データサンプル!S23)</f>
        <v>-4.5014631968727278E-2</v>
      </c>
      <c r="S21">
        <f>LN(株価データサンプル!U23/株価データサンプル!T23)</f>
        <v>1.9943680967335332E-2</v>
      </c>
      <c r="T21">
        <f>LN(株価データサンプル!V23/株価データサンプル!U23)</f>
        <v>-8.4986347214625821E-3</v>
      </c>
      <c r="U21">
        <f>LN(株価データサンプル!W23/株価データサンプル!V23)</f>
        <v>2.8409110016036497E-3</v>
      </c>
      <c r="V21">
        <f>LN(株価データサンプル!X23/株価データサンプル!W23)</f>
        <v>5.6577237198588547E-3</v>
      </c>
      <c r="W21">
        <f>LN(株価データサンプル!Y23/株価データサンプル!X23)</f>
        <v>4.5493716635252882E-2</v>
      </c>
      <c r="X21">
        <f>LN(株価データサンプル!Z23/株価データサンプル!Y23)</f>
        <v>-3.2879674119156273E-2</v>
      </c>
      <c r="Y21">
        <f>LN(株価データサンプル!AA23/株価データサンプル!Z23)</f>
        <v>-5.1439911204762101E-2</v>
      </c>
      <c r="Z21">
        <f>LN(株価データサンプル!AB23/株価データサンプル!AA23)</f>
        <v>4.1642771959778745E-2</v>
      </c>
      <c r="AA21">
        <f>LN(株価データサンプル!AC23/株価データサンプル!AB23)</f>
        <v>-1.5592094759836162E-2</v>
      </c>
      <c r="AB21">
        <f>LN(株価データサンプル!AD23/株価データサンプル!AC23)</f>
        <v>5.5569851154810786E-2</v>
      </c>
      <c r="AC21">
        <f>LN(株価データサンプル!AE23/株価データサンプル!AD23)</f>
        <v>-3.5767223858631028E-2</v>
      </c>
      <c r="AD21">
        <f>LN(株価データサンプル!AF23/株価データサンプル!AE23)</f>
        <v>-1.1267724846342269E-2</v>
      </c>
      <c r="AE21">
        <f>LN(株価データサンプル!AG23/株価データサンプル!AF23)</f>
        <v>-6.2840247307379596E-2</v>
      </c>
      <c r="AF21">
        <f>LN(株価データサンプル!AH23/株価データサンプル!AG23)</f>
        <v>-1.2139754550610546E-2</v>
      </c>
      <c r="AG21">
        <f>LN(株価データサンプル!AI23/株価データサンプル!AH23)</f>
        <v>3.0487828493585096E-3</v>
      </c>
      <c r="AH21">
        <f>LN(株価データサンプル!AJ23/株価データサンプル!AI23)</f>
        <v>-1.0711655594927772E-2</v>
      </c>
      <c r="AI21">
        <f>LN(株価データサンプル!AK23/株価データサンプル!AJ23)</f>
        <v>-3.4432196421484131E-2</v>
      </c>
      <c r="AJ21">
        <f>LN(株価データサンプル!AL23/株価データサンプル!AK23)</f>
        <v>-1.2820688429061434E-2</v>
      </c>
      <c r="AK21">
        <f>LN(株価データサンプル!AM23/株価データサンプル!AL23)</f>
        <v>3.2206147000421572E-3</v>
      </c>
      <c r="AL21">
        <f>LN(株価データサンプル!AN23/株価データサンプル!AM23)</f>
        <v>2.696436163835542E-2</v>
      </c>
      <c r="AM21">
        <f>LN(株価データサンプル!AO23/株価データサンプル!AN23)</f>
        <v>9.345862418237599E-3</v>
      </c>
      <c r="AN21">
        <f>LN(株価データサンプル!AP23/株価データサンプル!AO23)</f>
        <v>4.9896971144623041E-2</v>
      </c>
      <c r="AO21">
        <f>LN(株価データサンプル!AQ23/株価データサンプル!AP23)</f>
        <v>-2.8423753437888357E-2</v>
      </c>
      <c r="AP21">
        <f>LN(株価データサンプル!AR23/株価データサンプル!AQ23)</f>
        <v>1.9534806020642302E-2</v>
      </c>
      <c r="AQ21">
        <f>LN(株価データサンプル!AS23/株価データサンプル!AR23)</f>
        <v>-4.5670036833188321E-2</v>
      </c>
      <c r="AR21">
        <f>LN(株価データサンプル!AT23/株価データサンプル!AS23)</f>
        <v>3.0677252247047041E-2</v>
      </c>
      <c r="AS21">
        <f>LN(株価データサンプル!AU23/株価データサンプル!AT23)</f>
        <v>3.997571507665041E-2</v>
      </c>
      <c r="AT21">
        <f>LN(株価データサンプル!AV23/株価データサンプル!AU23)</f>
        <v>-1.7569998101383606E-2</v>
      </c>
      <c r="AU21">
        <f>LN(株価データサンプル!AW23/株価データサンプル!AV23)</f>
        <v>4.9001156890965847E-2</v>
      </c>
      <c r="AV21">
        <f>LN(株価データサンプル!AX23/株価データサンプル!AW23)</f>
        <v>-6.9897439617378321E-2</v>
      </c>
      <c r="AW21">
        <f>LN(株価データサンプル!AY23/株価データサンプル!AX23)</f>
        <v>-3.0630265948243123E-2</v>
      </c>
      <c r="AX21">
        <f>LN(株価データサンプル!AZ23/株価データサンプル!AY23)</f>
        <v>3.3642316418234806E-2</v>
      </c>
      <c r="AY21">
        <f>LN(株価データサンプル!BA23/株価データサンプル!AZ23)</f>
        <v>1.1958288988873576E-2</v>
      </c>
      <c r="AZ21">
        <f>LN(株価データサンプル!BB23/株価データサンプル!BA23)</f>
        <v>1.9132298081157354E-2</v>
      </c>
      <c r="BA21">
        <f>LN(株価データサンプル!BC23/株価データサンプル!BB23)</f>
        <v>-4.3193609241274696E-2</v>
      </c>
      <c r="BB21">
        <f>LN(株価データサンプル!BD23/株価データサンプル!BC23)</f>
        <v>-1.5337723983709946E-2</v>
      </c>
      <c r="BC21">
        <f>LN(株価データサンプル!BE23/株価データサンプル!BD23)</f>
        <v>2.1407545350785706E-2</v>
      </c>
      <c r="BD21">
        <f>LN(株価データサンプル!BF23/株価データサンプル!BE23)</f>
        <v>2.391743306058872E-2</v>
      </c>
      <c r="BE21">
        <f>LN(株価データサンプル!BG23/株価データサンプル!BF23)</f>
        <v>1.6117565021068692E-2</v>
      </c>
      <c r="BF21">
        <f>LN(株価データサンプル!BH23/株価データサンプル!BG23)</f>
        <v>-5.5279195724774403E-2</v>
      </c>
      <c r="BG21">
        <f>LN(株価データサンプル!BI23/株価データサンプル!BH23)</f>
        <v>-1.8605187831034469E-2</v>
      </c>
      <c r="BH21">
        <f>LN(株価データサンプル!BJ23/株価データサンプル!BI23)</f>
        <v>-3.0184976338397548E-2</v>
      </c>
      <c r="BI21">
        <f>LN(株価データサンプル!BK23/株価データサンプル!BJ23)</f>
        <v>-1.7901210329240178E-2</v>
      </c>
      <c r="BK21">
        <f t="shared" si="0"/>
        <v>-3.202092614842931E-3</v>
      </c>
      <c r="BL21">
        <f t="shared" si="1"/>
        <v>3.5536114226489258E-2</v>
      </c>
    </row>
    <row r="23" spans="1:64">
      <c r="B23" t="str">
        <f>A2</f>
        <v>ウェザーニューズ</v>
      </c>
      <c r="C23" t="str">
        <f>A3</f>
        <v>セコム</v>
      </c>
      <c r="D23" t="str">
        <f>A4</f>
        <v>綜合警備保障</v>
      </c>
      <c r="E23" t="str">
        <f>A5</f>
        <v>味の素</v>
      </c>
      <c r="F23" t="str">
        <f>A6</f>
        <v>サンフロンティア不動産</v>
      </c>
      <c r="G23" t="str">
        <f>A7</f>
        <v>応用地質</v>
      </c>
      <c r="H23" t="str">
        <f>A8</f>
        <v>建設技術研究所</v>
      </c>
      <c r="I23" t="str">
        <f>A9</f>
        <v>オリジナル設計</v>
      </c>
      <c r="J23" t="str">
        <f>A10</f>
        <v>関電工</v>
      </c>
      <c r="K23" t="str">
        <f>A11</f>
        <v>モリタホールディングス</v>
      </c>
      <c r="L23" t="str">
        <f>A12</f>
        <v>井村屋グループ</v>
      </c>
      <c r="M23" t="str">
        <f>A13</f>
        <v>ＮＪＳ</v>
      </c>
      <c r="N23" t="str">
        <f>A14</f>
        <v>協和コンサルタンツ</v>
      </c>
      <c r="O23" t="str">
        <f>A15</f>
        <v>因幡電機産業</v>
      </c>
      <c r="P23" t="str">
        <f>A16</f>
        <v>Ｅ・Ｊホールディングス</v>
      </c>
      <c r="Q23" t="str">
        <f>A17</f>
        <v>ジョイフル本田</v>
      </c>
      <c r="R23" t="str">
        <f>A18</f>
        <v>オオバ</v>
      </c>
      <c r="S23" t="str">
        <f>A19</f>
        <v>石井食品</v>
      </c>
      <c r="T23" t="str">
        <f>A20</f>
        <v>オイレス工業</v>
      </c>
      <c r="U23" t="str">
        <f>A21</f>
        <v>朝日放送グループホールディングス</v>
      </c>
      <c r="W23" t="s">
        <v>87</v>
      </c>
    </row>
    <row r="24" spans="1:64">
      <c r="B24">
        <v>0.01</v>
      </c>
      <c r="C24">
        <v>0.01</v>
      </c>
      <c r="D24">
        <v>0.01</v>
      </c>
      <c r="E24">
        <v>0.77445026764015557</v>
      </c>
      <c r="F24">
        <v>0.01</v>
      </c>
      <c r="G24">
        <v>0.01</v>
      </c>
      <c r="H24">
        <v>0.01</v>
      </c>
      <c r="I24">
        <v>0.01</v>
      </c>
      <c r="J24">
        <v>1.0000000000000002E-2</v>
      </c>
      <c r="K24">
        <v>0.01</v>
      </c>
      <c r="L24">
        <v>0.01</v>
      </c>
      <c r="M24">
        <v>0.01</v>
      </c>
      <c r="N24">
        <v>0.01</v>
      </c>
      <c r="O24">
        <v>0.01</v>
      </c>
      <c r="P24">
        <v>4.5549732359844247E-2</v>
      </c>
      <c r="Q24">
        <v>0.01</v>
      </c>
      <c r="R24">
        <v>0.01</v>
      </c>
      <c r="S24">
        <v>0.01</v>
      </c>
      <c r="T24">
        <v>0.01</v>
      </c>
      <c r="U24">
        <v>0.01</v>
      </c>
      <c r="W24">
        <f>SUM(B24:U24)</f>
        <v>1</v>
      </c>
    </row>
    <row r="26" spans="1:64">
      <c r="B26" t="s">
        <v>88</v>
      </c>
    </row>
    <row r="27" spans="1:64">
      <c r="B27">
        <f>MMULT(B24:U24,BK2:BK21)</f>
        <v>1.7633257150862319E-2</v>
      </c>
    </row>
    <row r="29" spans="1:64">
      <c r="A29" t="s">
        <v>89</v>
      </c>
      <c r="B29" t="str">
        <f t="shared" ref="B29:U29" si="2">B23</f>
        <v>ウェザーニューズ</v>
      </c>
      <c r="C29" t="str">
        <f t="shared" si="2"/>
        <v>セコム</v>
      </c>
      <c r="D29" t="str">
        <f t="shared" si="2"/>
        <v>綜合警備保障</v>
      </c>
      <c r="E29" t="str">
        <f t="shared" si="2"/>
        <v>味の素</v>
      </c>
      <c r="F29" t="str">
        <f t="shared" si="2"/>
        <v>サンフロンティア不動産</v>
      </c>
      <c r="G29" t="str">
        <f t="shared" si="2"/>
        <v>応用地質</v>
      </c>
      <c r="H29" t="str">
        <f t="shared" si="2"/>
        <v>建設技術研究所</v>
      </c>
      <c r="I29" t="str">
        <f t="shared" si="2"/>
        <v>オリジナル設計</v>
      </c>
      <c r="J29" t="str">
        <f t="shared" si="2"/>
        <v>関電工</v>
      </c>
      <c r="K29" t="str">
        <f t="shared" si="2"/>
        <v>モリタホールディングス</v>
      </c>
      <c r="L29" t="str">
        <f t="shared" si="2"/>
        <v>井村屋グループ</v>
      </c>
      <c r="M29" t="str">
        <f t="shared" si="2"/>
        <v>ＮＪＳ</v>
      </c>
      <c r="N29" t="str">
        <f t="shared" si="2"/>
        <v>協和コンサルタンツ</v>
      </c>
      <c r="O29" t="str">
        <f t="shared" si="2"/>
        <v>因幡電機産業</v>
      </c>
      <c r="P29" t="str">
        <f t="shared" si="2"/>
        <v>Ｅ・Ｊホールディングス</v>
      </c>
      <c r="Q29" t="str">
        <f t="shared" si="2"/>
        <v>ジョイフル本田</v>
      </c>
      <c r="R29" t="str">
        <f t="shared" si="2"/>
        <v>オオバ</v>
      </c>
      <c r="S29" t="str">
        <f t="shared" si="2"/>
        <v>石井食品</v>
      </c>
      <c r="T29" t="str">
        <f t="shared" si="2"/>
        <v>オイレス工業</v>
      </c>
      <c r="U29" t="str">
        <f t="shared" si="2"/>
        <v>朝日放送グループホールディングス</v>
      </c>
    </row>
    <row r="30" spans="1:64">
      <c r="A30" t="str">
        <f t="shared" ref="A30:A49" si="3">A2</f>
        <v>ウェザーニューズ</v>
      </c>
      <c r="B30">
        <f t="shared" ref="B30:B49" si="4">_xlfn.COVARIANCE.P($B$2:$BI$2,$B2:$BI2)</f>
        <v>8.8780739991381665E-3</v>
      </c>
      <c r="C30">
        <f t="shared" ref="C30:C49" si="5">_xlfn.COVARIANCE.P($B$3:$BI$3,$B2:$BI2)</f>
        <v>7.778634223159248E-4</v>
      </c>
      <c r="D30">
        <f t="shared" ref="D30:D49" si="6">_xlfn.COVARIANCE.P($B$4:$BI$4,$B2:$BI2)</f>
        <v>1.0850944236347295E-3</v>
      </c>
      <c r="E30">
        <f t="shared" ref="E30:E49" si="7">_xlfn.COVARIANCE.P($B$5:$BI$5,$B2:$BI2)</f>
        <v>2.2139752500815344E-3</v>
      </c>
      <c r="F30">
        <f t="shared" ref="F30:F49" si="8">_xlfn.COVARIANCE.P($B$6:$BI$6,$B2:$BI2)</f>
        <v>3.0768694817904808E-4</v>
      </c>
      <c r="G30">
        <f t="shared" ref="G30:G49" si="9">_xlfn.COVARIANCE.P($B$7:$BI$7,$B2:$BI2)</f>
        <v>1.4003738535847618E-3</v>
      </c>
      <c r="H30">
        <f t="shared" ref="H30:H49" si="10">_xlfn.COVARIANCE.P($B$8:$BI$8,$B2:$BI2)</f>
        <v>1.267471474228654E-3</v>
      </c>
      <c r="I30">
        <f t="shared" ref="I30:I49" si="11">_xlfn.COVARIANCE.P($B$9:$BI$9,$B2:$BI2)</f>
        <v>1.6543356197264358E-3</v>
      </c>
      <c r="J30">
        <f t="shared" ref="J30:J49" si="12">_xlfn.COVARIANCE.P($B$10:$BI$10,$B2:$BI2)</f>
        <v>2.804344304359464E-6</v>
      </c>
      <c r="K30">
        <f t="shared" ref="K30:K49" si="13">_xlfn.COVARIANCE.P($B$11:$BI$11,$B2:$BI2)</f>
        <v>1.8883186644156968E-4</v>
      </c>
      <c r="L30">
        <f t="shared" ref="L30:L49" si="14">_xlfn.COVARIANCE.P($B$12:$BI$12,$B2:$BI2)</f>
        <v>8.3012996099540725E-4</v>
      </c>
      <c r="M30">
        <f t="shared" ref="M30:M49" si="15">_xlfn.COVARIANCE.P($B$13:$BI$13,$B2:$BI2)</f>
        <v>1.1903505897031678E-3</v>
      </c>
      <c r="N30">
        <f t="shared" ref="N30:N49" si="16">_xlfn.COVARIANCE.P($B$14:$BI$14,$B2:$BI2)</f>
        <v>2.5333786361093741E-3</v>
      </c>
      <c r="O30">
        <f t="shared" ref="O30:O49" si="17">_xlfn.COVARIANCE.P($B$15:$BI$15,$B2:$BI2)</f>
        <v>3.7168949476293762E-4</v>
      </c>
      <c r="P30">
        <f t="shared" ref="P30:P49" si="18">_xlfn.COVARIANCE.P($B$16:$BI$16,$B2:$BI2)</f>
        <v>1.9676912960220221E-3</v>
      </c>
      <c r="Q30">
        <f t="shared" ref="Q30:Q49" si="19">_xlfn.COVARIANCE.P($B$17:$BI$17,$B2:$BI2)</f>
        <v>6.4754062668805513E-4</v>
      </c>
      <c r="R30">
        <f t="shared" ref="R30:R49" si="20">_xlfn.COVARIANCE.P($B$18:$BI$18,$B2:$BI2)</f>
        <v>2.1791942819054358E-3</v>
      </c>
      <c r="S30">
        <f t="shared" ref="S30:S49" si="21">_xlfn.COVARIANCE.P($B$19:$BI$19,$B2:$BI2)</f>
        <v>2.3950452693961651E-4</v>
      </c>
      <c r="T30">
        <f t="shared" ref="T30:T49" si="22">_xlfn.COVARIANCE.P($B$20:$BI$20,$B2:$BI2)</f>
        <v>7.5930033492268016E-4</v>
      </c>
      <c r="U30">
        <f t="shared" ref="U30:U49" si="23">_xlfn.COVARIANCE.P($B$21:$BI$21,$B2:$BI2)</f>
        <v>5.1401013341138386E-5</v>
      </c>
    </row>
    <row r="31" spans="1:64">
      <c r="A31" t="str">
        <f t="shared" si="3"/>
        <v>セコム</v>
      </c>
      <c r="B31">
        <f t="shared" si="4"/>
        <v>7.778634223159248E-4</v>
      </c>
      <c r="C31">
        <f t="shared" si="5"/>
        <v>2.9090944431383798E-3</v>
      </c>
      <c r="D31">
        <f t="shared" si="6"/>
        <v>9.4226079956323007E-4</v>
      </c>
      <c r="E31">
        <f t="shared" si="7"/>
        <v>6.325765693297585E-4</v>
      </c>
      <c r="F31">
        <f t="shared" si="8"/>
        <v>8.3837077568630941E-4</v>
      </c>
      <c r="G31">
        <f t="shared" si="9"/>
        <v>8.3708543631991466E-5</v>
      </c>
      <c r="H31">
        <f t="shared" si="10"/>
        <v>1.1133585385921161E-3</v>
      </c>
      <c r="I31">
        <f t="shared" si="11"/>
        <v>3.607587865724841E-5</v>
      </c>
      <c r="J31">
        <f t="shared" si="12"/>
        <v>1.0080046534191591E-3</v>
      </c>
      <c r="K31">
        <f t="shared" si="13"/>
        <v>6.6259945759559742E-4</v>
      </c>
      <c r="L31">
        <f t="shared" si="14"/>
        <v>8.4751092999365294E-4</v>
      </c>
      <c r="M31">
        <f t="shared" si="15"/>
        <v>8.2747302056742885E-4</v>
      </c>
      <c r="N31">
        <f t="shared" si="16"/>
        <v>2.222008644478018E-3</v>
      </c>
      <c r="O31">
        <f t="shared" si="17"/>
        <v>4.8420280006800082E-4</v>
      </c>
      <c r="P31">
        <f t="shared" si="18"/>
        <v>1.1947462145755173E-3</v>
      </c>
      <c r="Q31">
        <f t="shared" si="19"/>
        <v>-2.4414857655434001E-5</v>
      </c>
      <c r="R31">
        <f t="shared" si="20"/>
        <v>1.5851558595761223E-3</v>
      </c>
      <c r="S31">
        <f t="shared" si="21"/>
        <v>3.4718613440501878E-4</v>
      </c>
      <c r="T31">
        <f t="shared" si="22"/>
        <v>5.6886215033699551E-4</v>
      </c>
      <c r="U31">
        <f t="shared" si="23"/>
        <v>4.4585340882911825E-4</v>
      </c>
    </row>
    <row r="32" spans="1:64">
      <c r="A32" t="str">
        <f t="shared" si="3"/>
        <v>綜合警備保障</v>
      </c>
      <c r="B32">
        <f t="shared" si="4"/>
        <v>1.0850944236347295E-3</v>
      </c>
      <c r="C32">
        <f t="shared" si="5"/>
        <v>9.4226079956323007E-4</v>
      </c>
      <c r="D32">
        <f t="shared" si="6"/>
        <v>2.30750255255308E-3</v>
      </c>
      <c r="E32">
        <f t="shared" si="7"/>
        <v>8.9126025871284797E-4</v>
      </c>
      <c r="F32">
        <f t="shared" si="8"/>
        <v>3.1834055867886073E-4</v>
      </c>
      <c r="G32">
        <f t="shared" si="9"/>
        <v>9.2122430859645601E-4</v>
      </c>
      <c r="H32">
        <f t="shared" si="10"/>
        <v>1.2429009673471543E-3</v>
      </c>
      <c r="I32">
        <f t="shared" si="11"/>
        <v>3.1414179007310783E-4</v>
      </c>
      <c r="J32">
        <f t="shared" si="12"/>
        <v>1.2450362229215722E-3</v>
      </c>
      <c r="K32">
        <f t="shared" si="13"/>
        <v>5.2423415357639926E-4</v>
      </c>
      <c r="L32">
        <f t="shared" si="14"/>
        <v>7.0957411699125689E-4</v>
      </c>
      <c r="M32">
        <f t="shared" si="15"/>
        <v>1.0901204836003017E-3</v>
      </c>
      <c r="N32">
        <f t="shared" si="16"/>
        <v>1.0133676428856493E-3</v>
      </c>
      <c r="O32">
        <f t="shared" si="17"/>
        <v>3.9773945237338656E-4</v>
      </c>
      <c r="P32">
        <f t="shared" si="18"/>
        <v>7.8651339539364303E-4</v>
      </c>
      <c r="Q32">
        <f t="shared" si="19"/>
        <v>1.2488794707971286E-5</v>
      </c>
      <c r="R32">
        <f t="shared" si="20"/>
        <v>1.046392779041723E-3</v>
      </c>
      <c r="S32">
        <f t="shared" si="21"/>
        <v>3.3496777265040036E-5</v>
      </c>
      <c r="T32">
        <f t="shared" si="22"/>
        <v>7.7191890278872541E-4</v>
      </c>
      <c r="U32">
        <f t="shared" si="23"/>
        <v>4.3994723077724144E-4</v>
      </c>
    </row>
    <row r="33" spans="1:21">
      <c r="A33" t="str">
        <f t="shared" si="3"/>
        <v>味の素</v>
      </c>
      <c r="B33">
        <f t="shared" si="4"/>
        <v>2.2139752500815344E-3</v>
      </c>
      <c r="C33">
        <f t="shared" si="5"/>
        <v>6.325765693297585E-4</v>
      </c>
      <c r="D33">
        <f t="shared" si="6"/>
        <v>8.9126025871284797E-4</v>
      </c>
      <c r="E33">
        <f t="shared" si="7"/>
        <v>4.531281423600801E-3</v>
      </c>
      <c r="F33">
        <f t="shared" si="8"/>
        <v>6.068520479593926E-4</v>
      </c>
      <c r="G33">
        <f t="shared" si="9"/>
        <v>-1.4674222445301441E-4</v>
      </c>
      <c r="H33">
        <f t="shared" si="10"/>
        <v>8.0703895929400713E-4</v>
      </c>
      <c r="I33">
        <f t="shared" si="11"/>
        <v>-1.4040200613438169E-4</v>
      </c>
      <c r="J33">
        <f t="shared" si="12"/>
        <v>3.7628236536626434E-4</v>
      </c>
      <c r="K33">
        <f t="shared" si="13"/>
        <v>6.5468203869764325E-4</v>
      </c>
      <c r="L33">
        <f t="shared" si="14"/>
        <v>4.3034795655587539E-4</v>
      </c>
      <c r="M33">
        <f t="shared" si="15"/>
        <v>6.0274806870861861E-4</v>
      </c>
      <c r="N33">
        <f t="shared" si="16"/>
        <v>1.7234882871167321E-3</v>
      </c>
      <c r="O33">
        <f t="shared" si="17"/>
        <v>3.2467566037769103E-4</v>
      </c>
      <c r="P33">
        <f t="shared" si="18"/>
        <v>1.0466461739287712E-4</v>
      </c>
      <c r="Q33">
        <f t="shared" si="19"/>
        <v>4.3153813084472083E-4</v>
      </c>
      <c r="R33">
        <f t="shared" si="20"/>
        <v>5.9790293087565844E-4</v>
      </c>
      <c r="S33">
        <f t="shared" si="21"/>
        <v>-1.1031374444633535E-4</v>
      </c>
      <c r="T33">
        <f t="shared" si="22"/>
        <v>1.2313549528918271E-3</v>
      </c>
      <c r="U33">
        <f t="shared" si="23"/>
        <v>-5.4077874779018202E-5</v>
      </c>
    </row>
    <row r="34" spans="1:21">
      <c r="A34" t="str">
        <f t="shared" si="3"/>
        <v>サンフロンティア不動産</v>
      </c>
      <c r="B34">
        <f t="shared" si="4"/>
        <v>3.0768694817904808E-4</v>
      </c>
      <c r="C34">
        <f t="shared" si="5"/>
        <v>8.3837077568630941E-4</v>
      </c>
      <c r="D34">
        <f t="shared" si="6"/>
        <v>3.1834055867886073E-4</v>
      </c>
      <c r="E34">
        <f t="shared" si="7"/>
        <v>6.068520479593926E-4</v>
      </c>
      <c r="F34">
        <f t="shared" si="8"/>
        <v>4.9836329360885513E-3</v>
      </c>
      <c r="G34">
        <f t="shared" si="9"/>
        <v>1.6683898224638903E-4</v>
      </c>
      <c r="H34">
        <f t="shared" si="10"/>
        <v>1.372172023100658E-3</v>
      </c>
      <c r="I34">
        <f t="shared" si="11"/>
        <v>1.1457155925594768E-3</v>
      </c>
      <c r="J34">
        <f t="shared" si="12"/>
        <v>1.5858547627845255E-3</v>
      </c>
      <c r="K34">
        <f t="shared" si="13"/>
        <v>9.8775554959454467E-4</v>
      </c>
      <c r="L34">
        <f t="shared" si="14"/>
        <v>4.5766330182690193E-4</v>
      </c>
      <c r="M34">
        <f t="shared" si="15"/>
        <v>1.4242960546308227E-3</v>
      </c>
      <c r="N34">
        <f t="shared" si="16"/>
        <v>3.559911128217194E-3</v>
      </c>
      <c r="O34">
        <f t="shared" si="17"/>
        <v>1.3596951465070302E-3</v>
      </c>
      <c r="P34">
        <f t="shared" si="18"/>
        <v>1.5831390863918211E-3</v>
      </c>
      <c r="Q34">
        <f t="shared" si="19"/>
        <v>6.5739182142561642E-5</v>
      </c>
      <c r="R34">
        <f t="shared" si="20"/>
        <v>3.5927086232776027E-3</v>
      </c>
      <c r="S34">
        <f t="shared" si="21"/>
        <v>8.7356330908458101E-4</v>
      </c>
      <c r="T34">
        <f t="shared" si="22"/>
        <v>1.7626722810764528E-3</v>
      </c>
      <c r="U34">
        <f t="shared" si="23"/>
        <v>7.8356788673466398E-4</v>
      </c>
    </row>
    <row r="35" spans="1:21">
      <c r="A35" t="str">
        <f t="shared" si="3"/>
        <v>応用地質</v>
      </c>
      <c r="B35">
        <f t="shared" si="4"/>
        <v>1.4003738535847618E-3</v>
      </c>
      <c r="C35">
        <f t="shared" si="5"/>
        <v>8.3708543631991466E-5</v>
      </c>
      <c r="D35">
        <f t="shared" si="6"/>
        <v>9.2122430859645601E-4</v>
      </c>
      <c r="E35">
        <f t="shared" si="7"/>
        <v>-1.4674222445301441E-4</v>
      </c>
      <c r="F35">
        <f t="shared" si="8"/>
        <v>1.6683898224638903E-4</v>
      </c>
      <c r="G35">
        <f t="shared" si="9"/>
        <v>6.8411758297013507E-3</v>
      </c>
      <c r="H35">
        <f t="shared" si="10"/>
        <v>1.3812447173776285E-5</v>
      </c>
      <c r="I35">
        <f t="shared" si="11"/>
        <v>-2.2477591791076861E-4</v>
      </c>
      <c r="J35">
        <f t="shared" si="12"/>
        <v>5.2536860130322533E-4</v>
      </c>
      <c r="K35">
        <f t="shared" si="13"/>
        <v>-6.037380037320513E-5</v>
      </c>
      <c r="L35">
        <f t="shared" si="14"/>
        <v>3.2564358518748769E-4</v>
      </c>
      <c r="M35">
        <f t="shared" si="15"/>
        <v>7.6579095236454424E-4</v>
      </c>
      <c r="N35">
        <f t="shared" si="16"/>
        <v>7.4513909628275501E-4</v>
      </c>
      <c r="O35">
        <f t="shared" si="17"/>
        <v>-4.0340560507343396E-5</v>
      </c>
      <c r="P35">
        <f t="shared" si="18"/>
        <v>1.7355786439404363E-3</v>
      </c>
      <c r="Q35">
        <f t="shared" si="19"/>
        <v>3.6472267511019013E-4</v>
      </c>
      <c r="R35">
        <f t="shared" si="20"/>
        <v>1.9169367065410647E-3</v>
      </c>
      <c r="S35">
        <f t="shared" si="21"/>
        <v>4.9512226234272889E-4</v>
      </c>
      <c r="T35">
        <f t="shared" si="22"/>
        <v>3.7941785316762054E-5</v>
      </c>
      <c r="U35">
        <f t="shared" si="23"/>
        <v>8.4029621037177971E-4</v>
      </c>
    </row>
    <row r="36" spans="1:21">
      <c r="A36" t="str">
        <f t="shared" si="3"/>
        <v>建設技術研究所</v>
      </c>
      <c r="B36">
        <f t="shared" si="4"/>
        <v>1.267471474228654E-3</v>
      </c>
      <c r="C36">
        <f t="shared" si="5"/>
        <v>1.1133585385921161E-3</v>
      </c>
      <c r="D36">
        <f t="shared" si="6"/>
        <v>1.2429009673471543E-3</v>
      </c>
      <c r="E36">
        <f t="shared" si="7"/>
        <v>8.0703895929400713E-4</v>
      </c>
      <c r="F36">
        <f t="shared" si="8"/>
        <v>1.372172023100658E-3</v>
      </c>
      <c r="G36">
        <f t="shared" si="9"/>
        <v>1.3812447173776285E-5</v>
      </c>
      <c r="H36">
        <f t="shared" si="10"/>
        <v>6.5942289309983198E-3</v>
      </c>
      <c r="I36">
        <f t="shared" si="11"/>
        <v>1.198602124204915E-3</v>
      </c>
      <c r="J36">
        <f t="shared" si="12"/>
        <v>2.0376199741736515E-3</v>
      </c>
      <c r="K36">
        <f t="shared" si="13"/>
        <v>7.0818156048532298E-4</v>
      </c>
      <c r="L36">
        <f t="shared" si="14"/>
        <v>1.5466011795641471E-3</v>
      </c>
      <c r="M36">
        <f t="shared" si="15"/>
        <v>1.26636706613099E-3</v>
      </c>
      <c r="N36">
        <f t="shared" si="16"/>
        <v>3.2200675238735605E-3</v>
      </c>
      <c r="O36">
        <f t="shared" si="17"/>
        <v>1.9295497222565736E-3</v>
      </c>
      <c r="P36">
        <f t="shared" si="18"/>
        <v>2.6998590098549513E-3</v>
      </c>
      <c r="Q36">
        <f t="shared" si="19"/>
        <v>3.8974264971697152E-4</v>
      </c>
      <c r="R36">
        <f t="shared" si="20"/>
        <v>2.8672264629430091E-3</v>
      </c>
      <c r="S36">
        <f t="shared" si="21"/>
        <v>6.181545997374344E-4</v>
      </c>
      <c r="T36">
        <f t="shared" si="22"/>
        <v>1.6777102502084442E-3</v>
      </c>
      <c r="U36">
        <f t="shared" si="23"/>
        <v>1.0871359381921587E-3</v>
      </c>
    </row>
    <row r="37" spans="1:21">
      <c r="A37" t="str">
        <f t="shared" si="3"/>
        <v>オリジナル設計</v>
      </c>
      <c r="B37">
        <f t="shared" si="4"/>
        <v>1.6543356197264358E-3</v>
      </c>
      <c r="C37">
        <f t="shared" si="5"/>
        <v>3.607587865724841E-5</v>
      </c>
      <c r="D37">
        <f t="shared" si="6"/>
        <v>3.1414179007310783E-4</v>
      </c>
      <c r="E37">
        <f t="shared" si="7"/>
        <v>-1.4040200613438169E-4</v>
      </c>
      <c r="F37">
        <f t="shared" si="8"/>
        <v>1.1457155925594768E-3</v>
      </c>
      <c r="G37">
        <f t="shared" si="9"/>
        <v>-2.2477591791076861E-4</v>
      </c>
      <c r="H37">
        <f t="shared" si="10"/>
        <v>1.198602124204915E-3</v>
      </c>
      <c r="I37">
        <f t="shared" si="11"/>
        <v>2.7457630737838475E-3</v>
      </c>
      <c r="J37">
        <f t="shared" si="12"/>
        <v>4.7296432982627277E-4</v>
      </c>
      <c r="K37">
        <f t="shared" si="13"/>
        <v>1.210805348509949E-4</v>
      </c>
      <c r="L37">
        <f t="shared" si="14"/>
        <v>1.518108634316245E-5</v>
      </c>
      <c r="M37">
        <f t="shared" si="15"/>
        <v>4.5429361800145902E-4</v>
      </c>
      <c r="N37">
        <f t="shared" si="16"/>
        <v>1.4363899973310655E-3</v>
      </c>
      <c r="O37">
        <f t="shared" si="17"/>
        <v>2.9595896290495437E-4</v>
      </c>
      <c r="P37">
        <f t="shared" si="18"/>
        <v>9.2251809634998029E-4</v>
      </c>
      <c r="Q37">
        <f t="shared" si="19"/>
        <v>3.9349209101524163E-4</v>
      </c>
      <c r="R37">
        <f t="shared" si="20"/>
        <v>1.4256394537020727E-3</v>
      </c>
      <c r="S37">
        <f t="shared" si="21"/>
        <v>6.3398811144511273E-4</v>
      </c>
      <c r="T37">
        <f t="shared" si="22"/>
        <v>7.1061536318136785E-4</v>
      </c>
      <c r="U37">
        <f t="shared" si="23"/>
        <v>2.3266579089430326E-4</v>
      </c>
    </row>
    <row r="38" spans="1:21">
      <c r="A38" t="str">
        <f t="shared" si="3"/>
        <v>関電工</v>
      </c>
      <c r="B38">
        <f t="shared" si="4"/>
        <v>2.804344304359464E-6</v>
      </c>
      <c r="C38">
        <f t="shared" si="5"/>
        <v>1.0080046534191591E-3</v>
      </c>
      <c r="D38">
        <f t="shared" si="6"/>
        <v>1.2450362229215722E-3</v>
      </c>
      <c r="E38">
        <f t="shared" si="7"/>
        <v>3.7628236536626434E-4</v>
      </c>
      <c r="F38">
        <f t="shared" si="8"/>
        <v>1.5858547627845255E-3</v>
      </c>
      <c r="G38">
        <f t="shared" si="9"/>
        <v>5.2536860130322533E-4</v>
      </c>
      <c r="H38">
        <f t="shared" si="10"/>
        <v>2.0376199741736515E-3</v>
      </c>
      <c r="I38">
        <f t="shared" si="11"/>
        <v>4.7296432982627277E-4</v>
      </c>
      <c r="J38">
        <f t="shared" si="12"/>
        <v>3.5457291865617626E-3</v>
      </c>
      <c r="K38">
        <f t="shared" si="13"/>
        <v>1.074736061260952E-3</v>
      </c>
      <c r="L38">
        <f t="shared" si="14"/>
        <v>1.1966803588181983E-3</v>
      </c>
      <c r="M38">
        <f t="shared" si="15"/>
        <v>1.2444963769711887E-3</v>
      </c>
      <c r="N38">
        <f t="shared" si="16"/>
        <v>2.1337985932164431E-3</v>
      </c>
      <c r="O38">
        <f t="shared" si="17"/>
        <v>1.2696463736609216E-3</v>
      </c>
      <c r="P38">
        <f t="shared" si="18"/>
        <v>1.381986069048846E-3</v>
      </c>
      <c r="Q38">
        <f t="shared" si="19"/>
        <v>2.9268082772578908E-4</v>
      </c>
      <c r="R38">
        <f t="shared" si="20"/>
        <v>2.1956400203603579E-3</v>
      </c>
      <c r="S38">
        <f t="shared" si="21"/>
        <v>5.0384561099757951E-4</v>
      </c>
      <c r="T38">
        <f t="shared" si="22"/>
        <v>8.0528770558894157E-4</v>
      </c>
      <c r="U38">
        <f t="shared" si="23"/>
        <v>9.7697839103523965E-4</v>
      </c>
    </row>
    <row r="39" spans="1:21">
      <c r="A39" t="str">
        <f t="shared" si="3"/>
        <v>モリタホールディングス</v>
      </c>
      <c r="B39">
        <f t="shared" si="4"/>
        <v>1.8883186644156968E-4</v>
      </c>
      <c r="C39">
        <f t="shared" si="5"/>
        <v>6.6259945759559742E-4</v>
      </c>
      <c r="D39">
        <f t="shared" si="6"/>
        <v>5.2423415357639926E-4</v>
      </c>
      <c r="E39">
        <f t="shared" si="7"/>
        <v>6.5468203869764325E-4</v>
      </c>
      <c r="F39">
        <f t="shared" si="8"/>
        <v>9.8775554959454467E-4</v>
      </c>
      <c r="G39">
        <f t="shared" si="9"/>
        <v>-6.037380037320513E-5</v>
      </c>
      <c r="H39">
        <f t="shared" si="10"/>
        <v>7.0818156048532298E-4</v>
      </c>
      <c r="I39">
        <f t="shared" si="11"/>
        <v>1.210805348509949E-4</v>
      </c>
      <c r="J39">
        <f t="shared" si="12"/>
        <v>1.074736061260952E-3</v>
      </c>
      <c r="K39">
        <f t="shared" si="13"/>
        <v>2.8310771630483426E-3</v>
      </c>
      <c r="L39">
        <f t="shared" si="14"/>
        <v>7.5367995200399478E-4</v>
      </c>
      <c r="M39">
        <f t="shared" si="15"/>
        <v>2.7048932896858914E-4</v>
      </c>
      <c r="N39">
        <f t="shared" si="16"/>
        <v>5.3831581591891168E-4</v>
      </c>
      <c r="O39">
        <f t="shared" si="17"/>
        <v>1.1900717171989122E-3</v>
      </c>
      <c r="P39">
        <f t="shared" si="18"/>
        <v>1.6447527387743238E-3</v>
      </c>
      <c r="Q39">
        <f t="shared" si="19"/>
        <v>4.2077714645457286E-4</v>
      </c>
      <c r="R39">
        <f t="shared" si="20"/>
        <v>1.7103171766379769E-3</v>
      </c>
      <c r="S39">
        <f t="shared" si="21"/>
        <v>5.7394720667969385E-5</v>
      </c>
      <c r="T39">
        <f t="shared" si="22"/>
        <v>1.0795293129175728E-3</v>
      </c>
      <c r="U39">
        <f t="shared" si="23"/>
        <v>4.2639276903666518E-4</v>
      </c>
    </row>
    <row r="40" spans="1:21">
      <c r="A40" t="str">
        <f t="shared" si="3"/>
        <v>井村屋グループ</v>
      </c>
      <c r="B40">
        <f t="shared" si="4"/>
        <v>8.3012996099540725E-4</v>
      </c>
      <c r="C40">
        <f t="shared" si="5"/>
        <v>8.4751092999365294E-4</v>
      </c>
      <c r="D40">
        <f t="shared" si="6"/>
        <v>7.0957411699125689E-4</v>
      </c>
      <c r="E40">
        <f t="shared" si="7"/>
        <v>4.3034795655587539E-4</v>
      </c>
      <c r="F40">
        <f t="shared" si="8"/>
        <v>4.5766330182690193E-4</v>
      </c>
      <c r="G40">
        <f t="shared" si="9"/>
        <v>3.2564358518748769E-4</v>
      </c>
      <c r="H40">
        <f t="shared" si="10"/>
        <v>1.5466011795641471E-3</v>
      </c>
      <c r="I40">
        <f t="shared" si="11"/>
        <v>1.518108634316245E-5</v>
      </c>
      <c r="J40">
        <f t="shared" si="12"/>
        <v>1.1966803588181983E-3</v>
      </c>
      <c r="K40">
        <f t="shared" si="13"/>
        <v>7.5367995200399478E-4</v>
      </c>
      <c r="L40">
        <f t="shared" si="14"/>
        <v>2.4051582471261157E-3</v>
      </c>
      <c r="M40">
        <f t="shared" si="15"/>
        <v>8.0584615782903048E-4</v>
      </c>
      <c r="N40">
        <f t="shared" si="16"/>
        <v>1.1079619300436508E-3</v>
      </c>
      <c r="O40">
        <f t="shared" si="17"/>
        <v>6.8010113218234028E-4</v>
      </c>
      <c r="P40">
        <f t="shared" si="18"/>
        <v>1.2888179910937496E-3</v>
      </c>
      <c r="Q40">
        <f t="shared" si="19"/>
        <v>1.0044476120489711E-3</v>
      </c>
      <c r="R40">
        <f t="shared" si="20"/>
        <v>1.4134664228418021E-3</v>
      </c>
      <c r="S40">
        <f t="shared" si="21"/>
        <v>4.0287312491184355E-4</v>
      </c>
      <c r="T40">
        <f t="shared" si="22"/>
        <v>7.6753574059173775E-4</v>
      </c>
      <c r="U40">
        <f t="shared" si="23"/>
        <v>7.9765794705314121E-4</v>
      </c>
    </row>
    <row r="41" spans="1:21">
      <c r="A41" t="str">
        <f t="shared" si="3"/>
        <v>ＮＪＳ</v>
      </c>
      <c r="B41">
        <f t="shared" si="4"/>
        <v>1.1903505897031678E-3</v>
      </c>
      <c r="C41">
        <f t="shared" si="5"/>
        <v>8.2747302056742885E-4</v>
      </c>
      <c r="D41">
        <f t="shared" si="6"/>
        <v>1.0901204836003017E-3</v>
      </c>
      <c r="E41">
        <f t="shared" si="7"/>
        <v>6.0274806870861861E-4</v>
      </c>
      <c r="F41">
        <f t="shared" si="8"/>
        <v>1.4242960546308227E-3</v>
      </c>
      <c r="G41">
        <f t="shared" si="9"/>
        <v>7.6579095236454424E-4</v>
      </c>
      <c r="H41">
        <f t="shared" si="10"/>
        <v>1.26636706613099E-3</v>
      </c>
      <c r="I41">
        <f t="shared" si="11"/>
        <v>4.5429361800145902E-4</v>
      </c>
      <c r="J41">
        <f t="shared" si="12"/>
        <v>1.2444963769711887E-3</v>
      </c>
      <c r="K41">
        <f t="shared" si="13"/>
        <v>2.7048932896858914E-4</v>
      </c>
      <c r="L41">
        <f t="shared" si="14"/>
        <v>8.0584615782903048E-4</v>
      </c>
      <c r="M41">
        <f t="shared" si="15"/>
        <v>4.3772898828695877E-3</v>
      </c>
      <c r="N41">
        <f t="shared" si="16"/>
        <v>1.0953928945857338E-3</v>
      </c>
      <c r="O41">
        <f t="shared" si="17"/>
        <v>1.0040150123360352E-3</v>
      </c>
      <c r="P41">
        <f t="shared" si="18"/>
        <v>6.012991553166221E-4</v>
      </c>
      <c r="Q41">
        <f t="shared" si="19"/>
        <v>4.8792731113624441E-4</v>
      </c>
      <c r="R41">
        <f t="shared" si="20"/>
        <v>1.5045362425346325E-3</v>
      </c>
      <c r="S41">
        <f t="shared" si="21"/>
        <v>4.4339982146889001E-4</v>
      </c>
      <c r="T41">
        <f t="shared" si="22"/>
        <v>6.1849500110148755E-4</v>
      </c>
      <c r="U41">
        <f t="shared" si="23"/>
        <v>8.2570798336172252E-4</v>
      </c>
    </row>
    <row r="42" spans="1:21">
      <c r="A42" t="str">
        <f t="shared" si="3"/>
        <v>協和コンサルタンツ</v>
      </c>
      <c r="B42">
        <f t="shared" si="4"/>
        <v>2.5333786361093741E-3</v>
      </c>
      <c r="C42">
        <f t="shared" si="5"/>
        <v>2.222008644478018E-3</v>
      </c>
      <c r="D42">
        <f t="shared" si="6"/>
        <v>1.0133676428856493E-3</v>
      </c>
      <c r="E42">
        <f t="shared" si="7"/>
        <v>1.7234882871167321E-3</v>
      </c>
      <c r="F42">
        <f t="shared" si="8"/>
        <v>3.559911128217194E-3</v>
      </c>
      <c r="G42">
        <f t="shared" si="9"/>
        <v>7.4513909628275501E-4</v>
      </c>
      <c r="H42">
        <f t="shared" si="10"/>
        <v>3.2200675238735605E-3</v>
      </c>
      <c r="I42">
        <f t="shared" si="11"/>
        <v>1.4363899973310655E-3</v>
      </c>
      <c r="J42">
        <f t="shared" si="12"/>
        <v>2.1337985932164431E-3</v>
      </c>
      <c r="K42">
        <f t="shared" si="13"/>
        <v>5.3831581591891168E-4</v>
      </c>
      <c r="L42">
        <f t="shared" si="14"/>
        <v>1.1079619300436508E-3</v>
      </c>
      <c r="M42">
        <f t="shared" si="15"/>
        <v>1.0953928945857338E-3</v>
      </c>
      <c r="N42">
        <f t="shared" si="16"/>
        <v>1.1267127038681241E-2</v>
      </c>
      <c r="O42">
        <f t="shared" si="17"/>
        <v>1.4003016252012355E-3</v>
      </c>
      <c r="P42">
        <f t="shared" si="18"/>
        <v>3.0623410183287293E-3</v>
      </c>
      <c r="Q42">
        <f t="shared" si="19"/>
        <v>1.0185810387740946E-3</v>
      </c>
      <c r="R42">
        <f t="shared" si="20"/>
        <v>4.5676142325134601E-3</v>
      </c>
      <c r="S42">
        <f t="shared" si="21"/>
        <v>7.4436557901533587E-4</v>
      </c>
      <c r="T42">
        <f t="shared" si="22"/>
        <v>1.2521947516394684E-3</v>
      </c>
      <c r="U42">
        <f t="shared" si="23"/>
        <v>8.5801830356352306E-4</v>
      </c>
    </row>
    <row r="43" spans="1:21">
      <c r="A43" t="str">
        <f t="shared" si="3"/>
        <v>因幡電機産業</v>
      </c>
      <c r="B43">
        <f t="shared" si="4"/>
        <v>3.7168949476293762E-4</v>
      </c>
      <c r="C43">
        <f t="shared" si="5"/>
        <v>4.8420280006800082E-4</v>
      </c>
      <c r="D43">
        <f t="shared" si="6"/>
        <v>3.9773945237338656E-4</v>
      </c>
      <c r="E43">
        <f t="shared" si="7"/>
        <v>3.2467566037769103E-4</v>
      </c>
      <c r="F43">
        <f t="shared" si="8"/>
        <v>1.3596951465070302E-3</v>
      </c>
      <c r="G43">
        <f t="shared" si="9"/>
        <v>-4.0340560507343396E-5</v>
      </c>
      <c r="H43">
        <f t="shared" si="10"/>
        <v>1.9295497222565736E-3</v>
      </c>
      <c r="I43">
        <f t="shared" si="11"/>
        <v>2.9595896290495437E-4</v>
      </c>
      <c r="J43">
        <f t="shared" si="12"/>
        <v>1.2696463736609216E-3</v>
      </c>
      <c r="K43">
        <f t="shared" si="13"/>
        <v>1.1900717171989122E-3</v>
      </c>
      <c r="L43">
        <f t="shared" si="14"/>
        <v>6.8010113218234028E-4</v>
      </c>
      <c r="M43">
        <f t="shared" si="15"/>
        <v>1.0040150123360352E-3</v>
      </c>
      <c r="N43">
        <f t="shared" si="16"/>
        <v>1.4003016252012355E-3</v>
      </c>
      <c r="O43">
        <f t="shared" si="17"/>
        <v>1.7674129480852413E-3</v>
      </c>
      <c r="P43">
        <f t="shared" si="18"/>
        <v>1.6372370166528401E-3</v>
      </c>
      <c r="Q43">
        <f t="shared" si="19"/>
        <v>4.8734158561161825E-4</v>
      </c>
      <c r="R43">
        <f t="shared" si="20"/>
        <v>1.7437839881608509E-3</v>
      </c>
      <c r="S43">
        <f t="shared" si="21"/>
        <v>1.7441031375729641E-4</v>
      </c>
      <c r="T43">
        <f t="shared" si="22"/>
        <v>8.3508080846504478E-4</v>
      </c>
      <c r="U43">
        <f t="shared" si="23"/>
        <v>7.3695848435666742E-4</v>
      </c>
    </row>
    <row r="44" spans="1:21">
      <c r="A44" t="str">
        <f t="shared" si="3"/>
        <v>Ｅ・Ｊホールディングス</v>
      </c>
      <c r="B44">
        <f t="shared" si="4"/>
        <v>1.9676912960220221E-3</v>
      </c>
      <c r="C44">
        <f t="shared" si="5"/>
        <v>1.1947462145755173E-3</v>
      </c>
      <c r="D44">
        <f t="shared" si="6"/>
        <v>7.8651339539364303E-4</v>
      </c>
      <c r="E44">
        <f t="shared" si="7"/>
        <v>1.0466461739287712E-4</v>
      </c>
      <c r="F44">
        <f t="shared" si="8"/>
        <v>1.5831390863918211E-3</v>
      </c>
      <c r="G44">
        <f t="shared" si="9"/>
        <v>1.7355786439404363E-3</v>
      </c>
      <c r="H44">
        <f t="shared" si="10"/>
        <v>2.6998590098549513E-3</v>
      </c>
      <c r="I44">
        <f t="shared" si="11"/>
        <v>9.2251809634998029E-4</v>
      </c>
      <c r="J44">
        <f t="shared" si="12"/>
        <v>1.381986069048846E-3</v>
      </c>
      <c r="K44">
        <f t="shared" si="13"/>
        <v>1.6447527387743238E-3</v>
      </c>
      <c r="L44">
        <f t="shared" si="14"/>
        <v>1.2888179910937496E-3</v>
      </c>
      <c r="M44">
        <f t="shared" si="15"/>
        <v>6.012991553166221E-4</v>
      </c>
      <c r="N44">
        <f t="shared" si="16"/>
        <v>3.0623410183287293E-3</v>
      </c>
      <c r="O44">
        <f t="shared" si="17"/>
        <v>1.6372370166528401E-3</v>
      </c>
      <c r="P44">
        <f t="shared" si="18"/>
        <v>6.273290816488598E-3</v>
      </c>
      <c r="Q44">
        <f t="shared" si="19"/>
        <v>1.2294325935029407E-3</v>
      </c>
      <c r="R44">
        <f t="shared" si="20"/>
        <v>4.3820228460110123E-3</v>
      </c>
      <c r="S44">
        <f t="shared" si="21"/>
        <v>7.1812194686114185E-4</v>
      </c>
      <c r="T44">
        <f t="shared" si="22"/>
        <v>1.4861155417454611E-3</v>
      </c>
      <c r="U44">
        <f t="shared" si="23"/>
        <v>1.3339253269466626E-3</v>
      </c>
    </row>
    <row r="45" spans="1:21">
      <c r="A45" t="str">
        <f t="shared" si="3"/>
        <v>ジョイフル本田</v>
      </c>
      <c r="B45">
        <f t="shared" si="4"/>
        <v>6.4754062668805513E-4</v>
      </c>
      <c r="C45">
        <f t="shared" si="5"/>
        <v>-2.4414857655434001E-5</v>
      </c>
      <c r="D45">
        <f t="shared" si="6"/>
        <v>1.2488794707971286E-5</v>
      </c>
      <c r="E45">
        <f t="shared" si="7"/>
        <v>4.3153813084472083E-4</v>
      </c>
      <c r="F45">
        <f t="shared" si="8"/>
        <v>6.5739182142561642E-5</v>
      </c>
      <c r="G45">
        <f t="shared" si="9"/>
        <v>3.6472267511019013E-4</v>
      </c>
      <c r="H45">
        <f t="shared" si="10"/>
        <v>3.8974264971697152E-4</v>
      </c>
      <c r="I45">
        <f t="shared" si="11"/>
        <v>3.9349209101524163E-4</v>
      </c>
      <c r="J45">
        <f t="shared" si="12"/>
        <v>2.9268082772578908E-4</v>
      </c>
      <c r="K45">
        <f t="shared" si="13"/>
        <v>4.2077714645457286E-4</v>
      </c>
      <c r="L45">
        <f t="shared" si="14"/>
        <v>1.0044476120489711E-3</v>
      </c>
      <c r="M45">
        <f t="shared" si="15"/>
        <v>4.8792731113624441E-4</v>
      </c>
      <c r="N45">
        <f t="shared" si="16"/>
        <v>1.0185810387740946E-3</v>
      </c>
      <c r="O45">
        <f t="shared" si="17"/>
        <v>4.8734158561161825E-4</v>
      </c>
      <c r="P45">
        <f t="shared" si="18"/>
        <v>1.2294325935029407E-3</v>
      </c>
      <c r="Q45">
        <f t="shared" si="19"/>
        <v>2.9621065084332616E-3</v>
      </c>
      <c r="R45">
        <f t="shared" si="20"/>
        <v>1.0827429451104773E-3</v>
      </c>
      <c r="S45">
        <f t="shared" si="21"/>
        <v>1.4738486223924089E-4</v>
      </c>
      <c r="T45">
        <f t="shared" si="22"/>
        <v>1.3679204412066852E-4</v>
      </c>
      <c r="U45">
        <f t="shared" si="23"/>
        <v>3.2534376542890057E-4</v>
      </c>
    </row>
    <row r="46" spans="1:21">
      <c r="A46" t="str">
        <f t="shared" si="3"/>
        <v>オオバ</v>
      </c>
      <c r="B46">
        <f t="shared" si="4"/>
        <v>2.1791942819054358E-3</v>
      </c>
      <c r="C46">
        <f t="shared" si="5"/>
        <v>1.5851558595761223E-3</v>
      </c>
      <c r="D46">
        <f t="shared" si="6"/>
        <v>1.046392779041723E-3</v>
      </c>
      <c r="E46">
        <f t="shared" si="7"/>
        <v>5.9790293087565844E-4</v>
      </c>
      <c r="F46">
        <f t="shared" si="8"/>
        <v>3.5927086232776027E-3</v>
      </c>
      <c r="G46">
        <f t="shared" si="9"/>
        <v>1.9169367065410647E-3</v>
      </c>
      <c r="H46">
        <f t="shared" si="10"/>
        <v>2.8672264629430091E-3</v>
      </c>
      <c r="I46">
        <f t="shared" si="11"/>
        <v>1.4256394537020727E-3</v>
      </c>
      <c r="J46">
        <f t="shared" si="12"/>
        <v>2.1956400203603579E-3</v>
      </c>
      <c r="K46">
        <f t="shared" si="13"/>
        <v>1.7103171766379769E-3</v>
      </c>
      <c r="L46">
        <f t="shared" si="14"/>
        <v>1.4134664228418021E-3</v>
      </c>
      <c r="M46">
        <f t="shared" si="15"/>
        <v>1.5045362425346325E-3</v>
      </c>
      <c r="N46">
        <f t="shared" si="16"/>
        <v>4.5676142325134601E-3</v>
      </c>
      <c r="O46">
        <f t="shared" si="17"/>
        <v>1.7437839881608509E-3</v>
      </c>
      <c r="P46">
        <f t="shared" si="18"/>
        <v>4.3820228460110123E-3</v>
      </c>
      <c r="Q46">
        <f t="shared" si="19"/>
        <v>1.0827429451104773E-3</v>
      </c>
      <c r="R46">
        <f t="shared" si="20"/>
        <v>7.2242385985028879E-3</v>
      </c>
      <c r="S46">
        <f t="shared" si="21"/>
        <v>1.1889662764795086E-3</v>
      </c>
      <c r="T46">
        <f t="shared" si="22"/>
        <v>1.7701527803575437E-3</v>
      </c>
      <c r="U46">
        <f t="shared" si="23"/>
        <v>1.1976073570767443E-3</v>
      </c>
    </row>
    <row r="47" spans="1:21">
      <c r="A47" t="str">
        <f t="shared" si="3"/>
        <v>石井食品</v>
      </c>
      <c r="B47">
        <f t="shared" si="4"/>
        <v>2.3950452693961651E-4</v>
      </c>
      <c r="C47">
        <f t="shared" si="5"/>
        <v>3.4718613440501878E-4</v>
      </c>
      <c r="D47">
        <f t="shared" si="6"/>
        <v>3.3496777265040036E-5</v>
      </c>
      <c r="E47">
        <f t="shared" si="7"/>
        <v>-1.1031374444633535E-4</v>
      </c>
      <c r="F47">
        <f t="shared" si="8"/>
        <v>8.7356330908458101E-4</v>
      </c>
      <c r="G47">
        <f t="shared" si="9"/>
        <v>4.9512226234272889E-4</v>
      </c>
      <c r="H47">
        <f t="shared" si="10"/>
        <v>6.181545997374344E-4</v>
      </c>
      <c r="I47">
        <f t="shared" si="11"/>
        <v>6.3398811144511273E-4</v>
      </c>
      <c r="J47">
        <f t="shared" si="12"/>
        <v>5.0384561099757951E-4</v>
      </c>
      <c r="K47">
        <f t="shared" si="13"/>
        <v>5.7394720667969385E-5</v>
      </c>
      <c r="L47">
        <f t="shared" si="14"/>
        <v>4.0287312491184355E-4</v>
      </c>
      <c r="M47">
        <f t="shared" si="15"/>
        <v>4.4339982146889001E-4</v>
      </c>
      <c r="N47">
        <f t="shared" si="16"/>
        <v>7.4436557901533587E-4</v>
      </c>
      <c r="O47">
        <f t="shared" si="17"/>
        <v>1.7441031375729641E-4</v>
      </c>
      <c r="P47">
        <f t="shared" si="18"/>
        <v>7.1812194686114185E-4</v>
      </c>
      <c r="Q47">
        <f t="shared" si="19"/>
        <v>1.4738486223924089E-4</v>
      </c>
      <c r="R47">
        <f t="shared" si="20"/>
        <v>1.1889662764795086E-3</v>
      </c>
      <c r="S47">
        <f t="shared" si="21"/>
        <v>1.1865968219041902E-3</v>
      </c>
      <c r="T47">
        <f t="shared" si="22"/>
        <v>4.1022915176254949E-4</v>
      </c>
      <c r="U47">
        <f t="shared" si="23"/>
        <v>5.1154156259421298E-4</v>
      </c>
    </row>
    <row r="48" spans="1:21">
      <c r="A48" t="str">
        <f t="shared" si="3"/>
        <v>オイレス工業</v>
      </c>
      <c r="B48">
        <f t="shared" si="4"/>
        <v>7.5930033492268016E-4</v>
      </c>
      <c r="C48">
        <f t="shared" si="5"/>
        <v>5.6886215033699551E-4</v>
      </c>
      <c r="D48">
        <f t="shared" si="6"/>
        <v>7.7191890278872541E-4</v>
      </c>
      <c r="E48">
        <f t="shared" si="7"/>
        <v>1.2313549528918271E-3</v>
      </c>
      <c r="F48">
        <f t="shared" si="8"/>
        <v>1.7626722810764528E-3</v>
      </c>
      <c r="G48">
        <f t="shared" si="9"/>
        <v>3.7941785316762054E-5</v>
      </c>
      <c r="H48">
        <f t="shared" si="10"/>
        <v>1.6777102502084442E-3</v>
      </c>
      <c r="I48">
        <f t="shared" si="11"/>
        <v>7.1061536318136785E-4</v>
      </c>
      <c r="J48">
        <f t="shared" si="12"/>
        <v>8.0528770558894157E-4</v>
      </c>
      <c r="K48">
        <f t="shared" si="13"/>
        <v>1.0795293129175728E-3</v>
      </c>
      <c r="L48">
        <f t="shared" si="14"/>
        <v>7.6753574059173775E-4</v>
      </c>
      <c r="M48">
        <f t="shared" si="15"/>
        <v>6.1849500110148755E-4</v>
      </c>
      <c r="N48">
        <f t="shared" si="16"/>
        <v>1.2521947516394684E-3</v>
      </c>
      <c r="O48">
        <f t="shared" si="17"/>
        <v>8.3508080846504478E-4</v>
      </c>
      <c r="P48">
        <f t="shared" si="18"/>
        <v>1.4861155417454611E-3</v>
      </c>
      <c r="Q48">
        <f t="shared" si="19"/>
        <v>1.3679204412066852E-4</v>
      </c>
      <c r="R48">
        <f t="shared" si="20"/>
        <v>1.7701527803575437E-3</v>
      </c>
      <c r="S48">
        <f t="shared" si="21"/>
        <v>4.1022915176254949E-4</v>
      </c>
      <c r="T48">
        <f t="shared" si="22"/>
        <v>2.5212051478566101E-3</v>
      </c>
      <c r="U48">
        <f t="shared" si="23"/>
        <v>4.6202899401453633E-4</v>
      </c>
    </row>
    <row r="49" spans="1:21">
      <c r="A49" t="str">
        <f t="shared" si="3"/>
        <v>朝日放送グループホールディングス</v>
      </c>
      <c r="B49">
        <f t="shared" si="4"/>
        <v>5.1401013341138386E-5</v>
      </c>
      <c r="C49">
        <f t="shared" si="5"/>
        <v>4.4585340882911825E-4</v>
      </c>
      <c r="D49">
        <f t="shared" si="6"/>
        <v>4.3994723077724144E-4</v>
      </c>
      <c r="E49">
        <f t="shared" si="7"/>
        <v>-5.4077874779018202E-5</v>
      </c>
      <c r="F49">
        <f t="shared" si="8"/>
        <v>7.8356788673466398E-4</v>
      </c>
      <c r="G49">
        <f t="shared" si="9"/>
        <v>8.4029621037177971E-4</v>
      </c>
      <c r="H49">
        <f t="shared" si="10"/>
        <v>1.0871359381921587E-3</v>
      </c>
      <c r="I49">
        <f t="shared" si="11"/>
        <v>2.3266579089430326E-4</v>
      </c>
      <c r="J49">
        <f t="shared" si="12"/>
        <v>9.7697839103523965E-4</v>
      </c>
      <c r="K49">
        <f t="shared" si="13"/>
        <v>4.2639276903666518E-4</v>
      </c>
      <c r="L49">
        <f t="shared" si="14"/>
        <v>7.9765794705314121E-4</v>
      </c>
      <c r="M49">
        <f t="shared" si="15"/>
        <v>8.2570798336172252E-4</v>
      </c>
      <c r="N49">
        <f t="shared" si="16"/>
        <v>8.5801830356352306E-4</v>
      </c>
      <c r="O49">
        <f t="shared" si="17"/>
        <v>7.3695848435666742E-4</v>
      </c>
      <c r="P49">
        <f t="shared" si="18"/>
        <v>1.3339253269466626E-3</v>
      </c>
      <c r="Q49">
        <f t="shared" si="19"/>
        <v>3.2534376542890057E-4</v>
      </c>
      <c r="R49">
        <f t="shared" si="20"/>
        <v>1.1976073570767443E-3</v>
      </c>
      <c r="S49">
        <f t="shared" si="21"/>
        <v>5.1154156259421298E-4</v>
      </c>
      <c r="T49">
        <f t="shared" si="22"/>
        <v>4.6202899401453633E-4</v>
      </c>
      <c r="U49">
        <f t="shared" si="23"/>
        <v>1.262815414318092E-3</v>
      </c>
    </row>
    <row r="51" spans="1:21">
      <c r="B51">
        <f>INDEX(MMULT(B24:U24,B30:U49),1)</f>
        <v>2.0478917910441373E-3</v>
      </c>
      <c r="C51">
        <f>INDEX(MMULT(B24:U24,B30:U49),2)</f>
        <v>7.0107120976416356E-4</v>
      </c>
      <c r="D51">
        <f>INDEX(MMULT(B24:U24,B30:U49),3)</f>
        <v>8.7022004012857082E-4</v>
      </c>
      <c r="E51">
        <f>INDEX(MMULT(B24:U24,B30:U49),4)</f>
        <v>3.6247514328402947E-3</v>
      </c>
      <c r="F51">
        <f>INDEX(MMULT(B24:U24,B30:U49),5)</f>
        <v>7.979501430578458E-4</v>
      </c>
      <c r="G51">
        <f>INDEX(MMULT(B24:U24,B30:U49),6)</f>
        <v>1.1659664332883898E-4</v>
      </c>
      <c r="H51">
        <f>INDEX(MMULT(B24:U24,B30:U49),7)</f>
        <v>1.0494984276587622E-3</v>
      </c>
      <c r="I51">
        <f>INDEX(MMULT(B24:U24,B30:U49),8)</f>
        <v>6.3907356163770646E-5</v>
      </c>
      <c r="J51">
        <f>INDEX(MMULT(B24:U24,B30:U49),9)</f>
        <v>5.7553279808568382E-4</v>
      </c>
      <c r="K51">
        <f>INDEX(MMULT(B24:U24,B30:U49),10)</f>
        <v>7.1678763200074046E-4</v>
      </c>
      <c r="L51">
        <f>INDEX(MMULT(B24:U24,B30:U49),11)</f>
        <v>5.5266553255149242E-4</v>
      </c>
      <c r="M51">
        <f>INDEX(MMULT(B24:U24,B30:U49),12)</f>
        <v>6.9115029670546767E-4</v>
      </c>
      <c r="N51">
        <f>INDEX(MMULT(B24:U24,B30:U49),13)</f>
        <v>1.88138412373498E-3</v>
      </c>
      <c r="O51">
        <f>INDEX(MMULT(B24:U24,B30:U49),14)</f>
        <v>4.8689705006773064E-4</v>
      </c>
      <c r="P51">
        <f>INDEX(MMULT(B24:U24,B30:U49),15)</f>
        <v>6.6336523852699976E-4</v>
      </c>
      <c r="Q51">
        <f>INDEX(MMULT(B24:U24,B30:U49),16)</f>
        <v>4.9235951460624872E-4</v>
      </c>
      <c r="R51">
        <f>INDEX(MMULT(B24:U24,B30:U49),17)</f>
        <v>1.0647692547456444E-3</v>
      </c>
      <c r="S51">
        <f>INDEX(MMULT(B24:U24,B30:U49),18)</f>
        <v>3.7397989240584679E-5</v>
      </c>
      <c r="T51">
        <f>INDEX(MMULT(B24:U24,B30:U49),19)</f>
        <v>1.1907908630718934E-3</v>
      </c>
      <c r="U51">
        <f>INDEX(MMULT(B24:U24,B30:U49),20)</f>
        <v>1.4149850154421525E-4</v>
      </c>
    </row>
    <row r="53" spans="1:21">
      <c r="A53" t="str">
        <f t="shared" ref="A53:A72" si="24">A2</f>
        <v>ウェザーニューズ</v>
      </c>
      <c r="B53">
        <f>B24</f>
        <v>0.01</v>
      </c>
    </row>
    <row r="54" spans="1:21">
      <c r="A54" t="str">
        <f t="shared" si="24"/>
        <v>セコム</v>
      </c>
      <c r="B54">
        <f>C24</f>
        <v>0.01</v>
      </c>
    </row>
    <row r="55" spans="1:21">
      <c r="A55" t="str">
        <f t="shared" si="24"/>
        <v>綜合警備保障</v>
      </c>
      <c r="B55">
        <f>D24</f>
        <v>0.01</v>
      </c>
    </row>
    <row r="56" spans="1:21">
      <c r="A56" t="str">
        <f t="shared" si="24"/>
        <v>味の素</v>
      </c>
      <c r="B56">
        <f>E24</f>
        <v>0.77445026764015557</v>
      </c>
    </row>
    <row r="57" spans="1:21">
      <c r="A57" t="str">
        <f t="shared" si="24"/>
        <v>サンフロンティア不動産</v>
      </c>
      <c r="B57">
        <f>F24</f>
        <v>0.01</v>
      </c>
    </row>
    <row r="58" spans="1:21">
      <c r="A58" t="str">
        <f t="shared" si="24"/>
        <v>応用地質</v>
      </c>
      <c r="B58">
        <f>G24</f>
        <v>0.01</v>
      </c>
    </row>
    <row r="59" spans="1:21">
      <c r="A59" t="str">
        <f t="shared" si="24"/>
        <v>建設技術研究所</v>
      </c>
      <c r="B59">
        <f>H24</f>
        <v>0.01</v>
      </c>
    </row>
    <row r="60" spans="1:21">
      <c r="A60" t="str">
        <f t="shared" si="24"/>
        <v>オリジナル設計</v>
      </c>
      <c r="B60">
        <f>I24</f>
        <v>0.01</v>
      </c>
    </row>
    <row r="61" spans="1:21">
      <c r="A61" t="str">
        <f t="shared" si="24"/>
        <v>関電工</v>
      </c>
      <c r="B61">
        <f>J24</f>
        <v>1.0000000000000002E-2</v>
      </c>
    </row>
    <row r="62" spans="1:21">
      <c r="A62" t="str">
        <f t="shared" si="24"/>
        <v>モリタホールディングス</v>
      </c>
      <c r="B62">
        <f>K24</f>
        <v>0.01</v>
      </c>
    </row>
    <row r="63" spans="1:21">
      <c r="A63" t="str">
        <f t="shared" si="24"/>
        <v>井村屋グループ</v>
      </c>
      <c r="B63">
        <f>L24</f>
        <v>0.01</v>
      </c>
    </row>
    <row r="64" spans="1:21">
      <c r="A64" t="str">
        <f t="shared" si="24"/>
        <v>ＮＪＳ</v>
      </c>
      <c r="B64">
        <f>M24</f>
        <v>0.01</v>
      </c>
    </row>
    <row r="65" spans="1:24">
      <c r="A65" t="str">
        <f t="shared" si="24"/>
        <v>協和コンサルタンツ</v>
      </c>
      <c r="B65">
        <f>N24</f>
        <v>0.01</v>
      </c>
    </row>
    <row r="66" spans="1:24">
      <c r="A66" t="str">
        <f t="shared" si="24"/>
        <v>因幡電機産業</v>
      </c>
      <c r="B66">
        <f>O24</f>
        <v>0.01</v>
      </c>
    </row>
    <row r="67" spans="1:24">
      <c r="A67" t="str">
        <f t="shared" si="24"/>
        <v>Ｅ・Ｊホールディングス</v>
      </c>
      <c r="B67">
        <f>P24</f>
        <v>4.5549732359844247E-2</v>
      </c>
    </row>
    <row r="68" spans="1:24">
      <c r="A68" t="str">
        <f t="shared" si="24"/>
        <v>ジョイフル本田</v>
      </c>
      <c r="B68">
        <f>Q24</f>
        <v>0.01</v>
      </c>
    </row>
    <row r="69" spans="1:24">
      <c r="A69" t="str">
        <f t="shared" si="24"/>
        <v>オオバ</v>
      </c>
      <c r="B69">
        <f>R24</f>
        <v>0.01</v>
      </c>
    </row>
    <row r="70" spans="1:24">
      <c r="A70" t="str">
        <f t="shared" si="24"/>
        <v>石井食品</v>
      </c>
      <c r="B70">
        <f>S24</f>
        <v>0.01</v>
      </c>
    </row>
    <row r="71" spans="1:24">
      <c r="A71" t="str">
        <f t="shared" si="24"/>
        <v>オイレス工業</v>
      </c>
      <c r="B71">
        <f>T24</f>
        <v>0.01</v>
      </c>
    </row>
    <row r="72" spans="1:24">
      <c r="A72" t="str">
        <f t="shared" si="24"/>
        <v>朝日放送グループホールディングス</v>
      </c>
      <c r="B72">
        <f>U24</f>
        <v>0.01</v>
      </c>
    </row>
    <row r="74" spans="1:24">
      <c r="B74" t="s">
        <v>90</v>
      </c>
    </row>
    <row r="75" spans="1:24">
      <c r="B75">
        <f>SQRT(MMULT(B51:U51,B53:B72))</f>
        <v>5.4517790839678566E-2</v>
      </c>
    </row>
    <row r="77" spans="1:24">
      <c r="B77" t="s">
        <v>90</v>
      </c>
      <c r="C77" t="s">
        <v>88</v>
      </c>
      <c r="E77" t="str">
        <f t="shared" ref="E77:X77" si="25">B23</f>
        <v>ウェザーニューズ</v>
      </c>
      <c r="F77" t="str">
        <f t="shared" si="25"/>
        <v>セコム</v>
      </c>
      <c r="G77" t="str">
        <f t="shared" si="25"/>
        <v>綜合警備保障</v>
      </c>
      <c r="H77" t="str">
        <f t="shared" si="25"/>
        <v>味の素</v>
      </c>
      <c r="I77" t="str">
        <f t="shared" si="25"/>
        <v>サンフロンティア不動産</v>
      </c>
      <c r="J77" t="str">
        <f t="shared" si="25"/>
        <v>応用地質</v>
      </c>
      <c r="K77" t="str">
        <f t="shared" si="25"/>
        <v>建設技術研究所</v>
      </c>
      <c r="L77" t="str">
        <f t="shared" si="25"/>
        <v>オリジナル設計</v>
      </c>
      <c r="M77" t="str">
        <f t="shared" si="25"/>
        <v>関電工</v>
      </c>
      <c r="N77" t="str">
        <f t="shared" si="25"/>
        <v>モリタホールディングス</v>
      </c>
      <c r="O77" t="str">
        <f t="shared" si="25"/>
        <v>井村屋グループ</v>
      </c>
      <c r="P77" t="str">
        <f t="shared" si="25"/>
        <v>ＮＪＳ</v>
      </c>
      <c r="Q77" t="str">
        <f t="shared" si="25"/>
        <v>協和コンサルタンツ</v>
      </c>
      <c r="R77" t="str">
        <f t="shared" si="25"/>
        <v>因幡電機産業</v>
      </c>
      <c r="S77" t="str">
        <f t="shared" si="25"/>
        <v>Ｅ・Ｊホールディングス</v>
      </c>
      <c r="T77" t="str">
        <f t="shared" si="25"/>
        <v>ジョイフル本田</v>
      </c>
      <c r="U77" t="str">
        <f t="shared" si="25"/>
        <v>オオバ</v>
      </c>
      <c r="V77" t="str">
        <f t="shared" si="25"/>
        <v>石井食品</v>
      </c>
      <c r="W77" t="str">
        <f t="shared" si="25"/>
        <v>オイレス工業</v>
      </c>
      <c r="X77" t="str">
        <f t="shared" si="25"/>
        <v>朝日放送グループホールディングス</v>
      </c>
    </row>
    <row r="78" spans="1:24">
      <c r="B78">
        <v>3.2481845142181116E-2</v>
      </c>
      <c r="C78">
        <v>-1.1223278362309744E-3</v>
      </c>
      <c r="E78">
        <v>9.9990000000000009E-3</v>
      </c>
      <c r="F78">
        <v>9.9990000000000079E-3</v>
      </c>
      <c r="G78">
        <v>2.180837493592213E-2</v>
      </c>
      <c r="H78">
        <v>1.0000000000000002E-2</v>
      </c>
      <c r="I78">
        <v>1.0000000000000002E-2</v>
      </c>
      <c r="J78">
        <v>0.01</v>
      </c>
      <c r="K78">
        <v>0.01</v>
      </c>
      <c r="L78">
        <v>0.01</v>
      </c>
      <c r="M78">
        <v>0.01</v>
      </c>
      <c r="N78">
        <v>0.01</v>
      </c>
      <c r="O78">
        <v>0.01</v>
      </c>
      <c r="P78">
        <v>0.01</v>
      </c>
      <c r="Q78">
        <v>0.01</v>
      </c>
      <c r="R78">
        <v>0.01</v>
      </c>
      <c r="S78">
        <v>9.9999999999999985E-3</v>
      </c>
      <c r="T78">
        <v>9.9999999999999985E-3</v>
      </c>
      <c r="U78">
        <v>0.01</v>
      </c>
      <c r="V78">
        <v>0.01</v>
      </c>
      <c r="W78">
        <v>0.01</v>
      </c>
      <c r="X78">
        <v>0.79819362506407754</v>
      </c>
    </row>
    <row r="79" spans="1:24">
      <c r="B79">
        <v>3.0596569823706926E-2</v>
      </c>
      <c r="C79">
        <v>-7.4721613648621608E-4</v>
      </c>
      <c r="E79">
        <v>0.01</v>
      </c>
      <c r="F79">
        <v>0.01</v>
      </c>
      <c r="G79">
        <v>0.13687038829339809</v>
      </c>
      <c r="H79">
        <v>0.01</v>
      </c>
      <c r="I79">
        <v>0.01</v>
      </c>
      <c r="J79">
        <v>0.01</v>
      </c>
      <c r="K79">
        <v>0.01</v>
      </c>
      <c r="L79">
        <v>2.1840407444367476E-2</v>
      </c>
      <c r="M79">
        <v>0.01</v>
      </c>
      <c r="N79">
        <v>0.01</v>
      </c>
      <c r="O79">
        <v>0.01</v>
      </c>
      <c r="P79">
        <v>0.01</v>
      </c>
      <c r="Q79">
        <v>0.01</v>
      </c>
      <c r="R79">
        <v>0.01</v>
      </c>
      <c r="S79">
        <v>0.01</v>
      </c>
      <c r="T79">
        <v>0.01</v>
      </c>
      <c r="U79">
        <v>0.01</v>
      </c>
      <c r="V79">
        <v>0.01</v>
      </c>
      <c r="W79">
        <v>0.01</v>
      </c>
      <c r="X79">
        <v>0.67128920426223448</v>
      </c>
    </row>
    <row r="80" spans="1:24">
      <c r="B80">
        <v>2.9410500756732634E-2</v>
      </c>
      <c r="C80">
        <v>-3.7210443674145772E-4</v>
      </c>
      <c r="E80">
        <v>9.9999999999999985E-3</v>
      </c>
      <c r="F80">
        <v>0.01</v>
      </c>
      <c r="G80">
        <v>0.14409262703867151</v>
      </c>
      <c r="H80">
        <v>0.01</v>
      </c>
      <c r="I80">
        <v>0.01</v>
      </c>
      <c r="J80">
        <v>0.01</v>
      </c>
      <c r="K80">
        <v>0.01</v>
      </c>
      <c r="L80">
        <v>5.193530172512064E-2</v>
      </c>
      <c r="M80">
        <v>0.01</v>
      </c>
      <c r="N80">
        <v>0.01</v>
      </c>
      <c r="O80">
        <v>0.01</v>
      </c>
      <c r="P80">
        <v>0.01</v>
      </c>
      <c r="Q80">
        <v>0.01</v>
      </c>
      <c r="R80">
        <v>0.01</v>
      </c>
      <c r="S80">
        <v>0.01</v>
      </c>
      <c r="T80">
        <v>3.5439668269959992E-2</v>
      </c>
      <c r="U80">
        <v>0.01</v>
      </c>
      <c r="V80">
        <v>0.01</v>
      </c>
      <c r="W80">
        <v>0.01</v>
      </c>
      <c r="X80">
        <v>0.60853240296624767</v>
      </c>
    </row>
    <row r="81" spans="2:24">
      <c r="B81">
        <v>2.8436621522556705E-2</v>
      </c>
      <c r="C81">
        <v>3.0072630033006363E-6</v>
      </c>
      <c r="E81">
        <v>0.01</v>
      </c>
      <c r="F81">
        <v>2.4481394927734639E-2</v>
      </c>
      <c r="G81">
        <v>0.14053454972508891</v>
      </c>
      <c r="H81">
        <v>0.01</v>
      </c>
      <c r="I81">
        <v>0.01</v>
      </c>
      <c r="J81">
        <v>0.01</v>
      </c>
      <c r="K81">
        <v>0.01</v>
      </c>
      <c r="L81">
        <v>7.2021825094644054E-2</v>
      </c>
      <c r="M81">
        <v>0.01</v>
      </c>
      <c r="N81">
        <v>1.6215823535071498E-2</v>
      </c>
      <c r="O81">
        <v>0.01</v>
      </c>
      <c r="P81">
        <v>0.01</v>
      </c>
      <c r="Q81">
        <v>0.01</v>
      </c>
      <c r="R81">
        <v>0.01</v>
      </c>
      <c r="S81">
        <v>0.01</v>
      </c>
      <c r="T81">
        <v>5.8191482901974831E-2</v>
      </c>
      <c r="U81">
        <v>0.01</v>
      </c>
      <c r="V81">
        <v>0.01</v>
      </c>
      <c r="W81">
        <v>0.01</v>
      </c>
      <c r="X81">
        <v>0.54855492381548621</v>
      </c>
    </row>
    <row r="82" spans="2:24">
      <c r="B82">
        <v>2.7641519305526014E-2</v>
      </c>
      <c r="C82">
        <v>3.78118962748059E-4</v>
      </c>
      <c r="E82">
        <v>0.01</v>
      </c>
      <c r="F82">
        <v>3.6131506420382591E-2</v>
      </c>
      <c r="G82">
        <v>0.13488038655247725</v>
      </c>
      <c r="H82">
        <v>0.01</v>
      </c>
      <c r="I82">
        <v>0.01</v>
      </c>
      <c r="J82">
        <v>0.01</v>
      </c>
      <c r="K82">
        <v>0.01</v>
      </c>
      <c r="L82">
        <v>8.5150700012319364E-2</v>
      </c>
      <c r="M82">
        <v>0.01</v>
      </c>
      <c r="N82">
        <v>3.089353189194842E-2</v>
      </c>
      <c r="O82">
        <v>0.01</v>
      </c>
      <c r="P82">
        <v>0.01</v>
      </c>
      <c r="Q82">
        <v>0.01</v>
      </c>
      <c r="R82">
        <v>0.01</v>
      </c>
      <c r="S82">
        <v>0.01</v>
      </c>
      <c r="T82">
        <v>7.4013526307350599E-2</v>
      </c>
      <c r="U82">
        <v>0.01</v>
      </c>
      <c r="V82">
        <v>1.6945435649944562E-2</v>
      </c>
      <c r="W82">
        <v>0.01</v>
      </c>
      <c r="X82">
        <v>0.49198491316557696</v>
      </c>
    </row>
    <row r="83" spans="2:24">
      <c r="B83">
        <v>2.6954968879439038E-2</v>
      </c>
      <c r="C83">
        <v>7.5323066249281736E-4</v>
      </c>
      <c r="E83">
        <v>1.0000000000000002E-2</v>
      </c>
      <c r="F83">
        <v>3.6569041590978471E-2</v>
      </c>
      <c r="G83">
        <v>0.13391300193056696</v>
      </c>
      <c r="H83">
        <v>0.01</v>
      </c>
      <c r="I83">
        <v>0.01</v>
      </c>
      <c r="J83">
        <v>0.01</v>
      </c>
      <c r="K83">
        <v>0.01</v>
      </c>
      <c r="L83">
        <v>8.1691373721227672E-2</v>
      </c>
      <c r="M83">
        <v>0.01</v>
      </c>
      <c r="N83">
        <v>3.8248748354335262E-2</v>
      </c>
      <c r="O83">
        <v>0.01</v>
      </c>
      <c r="P83">
        <v>0.01</v>
      </c>
      <c r="Q83">
        <v>0.01</v>
      </c>
      <c r="R83">
        <v>0.01</v>
      </c>
      <c r="S83">
        <v>0.01</v>
      </c>
      <c r="T83">
        <v>7.9883507109321947E-2</v>
      </c>
      <c r="U83">
        <v>0.01</v>
      </c>
      <c r="V83">
        <v>5.5134317474375062E-2</v>
      </c>
      <c r="W83">
        <v>0.01</v>
      </c>
      <c r="X83">
        <v>0.44456000981919469</v>
      </c>
    </row>
    <row r="84" spans="2:24">
      <c r="B84">
        <v>2.6348576248139979E-2</v>
      </c>
      <c r="C84">
        <v>1.1283423622375757E-3</v>
      </c>
      <c r="E84">
        <v>0.01</v>
      </c>
      <c r="F84">
        <v>3.7091406177616991E-2</v>
      </c>
      <c r="G84">
        <v>0.13323736903098163</v>
      </c>
      <c r="H84">
        <v>0.01</v>
      </c>
      <c r="I84">
        <v>0.01</v>
      </c>
      <c r="J84">
        <v>0.01</v>
      </c>
      <c r="K84">
        <v>0.01</v>
      </c>
      <c r="L84">
        <v>7.8307953593737281E-2</v>
      </c>
      <c r="M84">
        <v>0.01</v>
      </c>
      <c r="N84">
        <v>4.546579711377368E-2</v>
      </c>
      <c r="O84">
        <v>0.01</v>
      </c>
      <c r="P84">
        <v>0.01</v>
      </c>
      <c r="Q84">
        <v>0.01</v>
      </c>
      <c r="R84">
        <v>0.01</v>
      </c>
      <c r="S84">
        <v>0.01</v>
      </c>
      <c r="T84">
        <v>8.5813780961467898E-2</v>
      </c>
      <c r="U84">
        <v>0.01</v>
      </c>
      <c r="V84">
        <v>9.3173849509383441E-2</v>
      </c>
      <c r="W84">
        <v>0.01</v>
      </c>
      <c r="X84">
        <v>0.39690984361303899</v>
      </c>
    </row>
    <row r="85" spans="2:24">
      <c r="B85">
        <v>2.5827982798564422E-2</v>
      </c>
      <c r="C85">
        <v>1.5034540619823342E-3</v>
      </c>
      <c r="E85">
        <v>0.01</v>
      </c>
      <c r="F85">
        <v>3.7556560740160734E-2</v>
      </c>
      <c r="G85">
        <v>0.13246927606815515</v>
      </c>
      <c r="H85">
        <v>1.0000000000000002E-2</v>
      </c>
      <c r="I85">
        <v>0.01</v>
      </c>
      <c r="J85">
        <v>0.01</v>
      </c>
      <c r="K85">
        <v>0.01</v>
      </c>
      <c r="L85">
        <v>7.4858337321209251E-2</v>
      </c>
      <c r="M85">
        <v>0.01</v>
      </c>
      <c r="N85">
        <v>5.2766677219044045E-2</v>
      </c>
      <c r="O85">
        <v>0.01</v>
      </c>
      <c r="P85">
        <v>0.01</v>
      </c>
      <c r="Q85">
        <v>0.01</v>
      </c>
      <c r="R85">
        <v>0.01</v>
      </c>
      <c r="S85">
        <v>0.01</v>
      </c>
      <c r="T85">
        <v>9.181377858765645E-2</v>
      </c>
      <c r="U85">
        <v>0.01</v>
      </c>
      <c r="V85">
        <v>0.13120929352802035</v>
      </c>
      <c r="W85">
        <v>0.01</v>
      </c>
      <c r="X85">
        <v>0.34932607653575398</v>
      </c>
    </row>
    <row r="86" spans="2:24">
      <c r="B86">
        <v>2.5398445819569956E-2</v>
      </c>
      <c r="C86">
        <v>1.8785657617270924E-3</v>
      </c>
      <c r="E86">
        <v>0.01</v>
      </c>
      <c r="F86">
        <v>3.8063360023775313E-2</v>
      </c>
      <c r="G86">
        <v>0.13140909263469944</v>
      </c>
      <c r="H86">
        <v>0.01</v>
      </c>
      <c r="I86">
        <v>0.01</v>
      </c>
      <c r="J86">
        <v>0.01</v>
      </c>
      <c r="K86">
        <v>0.01</v>
      </c>
      <c r="L86">
        <v>7.0991375715143606E-2</v>
      </c>
      <c r="M86">
        <v>0.01</v>
      </c>
      <c r="N86">
        <v>6.0406824627116606E-2</v>
      </c>
      <c r="O86">
        <v>0.01</v>
      </c>
      <c r="P86">
        <v>0.01</v>
      </c>
      <c r="Q86">
        <v>0.01</v>
      </c>
      <c r="R86">
        <v>0.01</v>
      </c>
      <c r="S86">
        <v>0.01</v>
      </c>
      <c r="T86">
        <v>9.7738309139363572E-2</v>
      </c>
      <c r="U86">
        <v>0.01</v>
      </c>
      <c r="V86">
        <v>0.16944336484080372</v>
      </c>
      <c r="W86">
        <v>0.01</v>
      </c>
      <c r="X86">
        <v>0.30194767301909786</v>
      </c>
    </row>
    <row r="87" spans="2:24">
      <c r="B87">
        <v>2.5064676118913474E-2</v>
      </c>
      <c r="C87">
        <v>2.2536774614718507E-3</v>
      </c>
      <c r="E87">
        <v>0.01</v>
      </c>
      <c r="F87">
        <v>3.8344323111506179E-2</v>
      </c>
      <c r="G87">
        <v>0.13071658679185053</v>
      </c>
      <c r="H87">
        <v>0.01</v>
      </c>
      <c r="I87">
        <v>0.01</v>
      </c>
      <c r="J87">
        <v>0.01</v>
      </c>
      <c r="K87">
        <v>0.01</v>
      </c>
      <c r="L87">
        <v>6.7402967214031079E-2</v>
      </c>
      <c r="M87">
        <v>0.01</v>
      </c>
      <c r="N87">
        <v>6.7845253320793567E-2</v>
      </c>
      <c r="O87">
        <v>0.01</v>
      </c>
      <c r="P87">
        <v>0.01</v>
      </c>
      <c r="Q87">
        <v>0.01</v>
      </c>
      <c r="R87">
        <v>0.01</v>
      </c>
      <c r="S87">
        <v>0.01</v>
      </c>
      <c r="T87">
        <v>0.10367215314304376</v>
      </c>
      <c r="U87">
        <v>0.01</v>
      </c>
      <c r="V87">
        <v>0.20762242887528237</v>
      </c>
      <c r="W87">
        <v>0.01</v>
      </c>
      <c r="X87">
        <v>0.25439628754349253</v>
      </c>
    </row>
    <row r="88" spans="2:24">
      <c r="B88">
        <v>2.4828472966905036E-2</v>
      </c>
      <c r="C88">
        <v>2.6287891612166089E-3</v>
      </c>
      <c r="E88">
        <v>0.01</v>
      </c>
      <c r="F88">
        <v>3.8254131022293726E-2</v>
      </c>
      <c r="G88">
        <v>0.12831944636789619</v>
      </c>
      <c r="H88">
        <v>1.3221795743521898E-2</v>
      </c>
      <c r="I88">
        <v>0.01</v>
      </c>
      <c r="J88">
        <v>0.01</v>
      </c>
      <c r="K88">
        <v>0.01</v>
      </c>
      <c r="L88">
        <v>6.4683855670157109E-2</v>
      </c>
      <c r="M88">
        <v>0.01</v>
      </c>
      <c r="N88">
        <v>7.343551481671369E-2</v>
      </c>
      <c r="O88">
        <v>0.01</v>
      </c>
      <c r="P88">
        <v>0.01</v>
      </c>
      <c r="Q88">
        <v>0.01</v>
      </c>
      <c r="R88">
        <v>0.01</v>
      </c>
      <c r="S88">
        <v>0.01</v>
      </c>
      <c r="T88">
        <v>0.10791727882188107</v>
      </c>
      <c r="U88">
        <v>0.01</v>
      </c>
      <c r="V88">
        <v>0.23931909611507818</v>
      </c>
      <c r="W88">
        <v>0.01</v>
      </c>
      <c r="X88">
        <v>0.21484888144245815</v>
      </c>
    </row>
    <row r="89" spans="2:24">
      <c r="B89">
        <v>2.4650588950917391E-2</v>
      </c>
      <c r="C89">
        <v>3.0039008609613672E-3</v>
      </c>
      <c r="E89">
        <v>0.01</v>
      </c>
      <c r="F89">
        <v>3.6684787694030094E-2</v>
      </c>
      <c r="G89">
        <v>0.12215451077739913</v>
      </c>
      <c r="H89">
        <v>2.5654519309206744E-2</v>
      </c>
      <c r="I89">
        <v>0.01</v>
      </c>
      <c r="J89">
        <v>0.01</v>
      </c>
      <c r="K89">
        <v>0.01</v>
      </c>
      <c r="L89">
        <v>6.3890279814941775E-2</v>
      </c>
      <c r="M89">
        <v>0.01</v>
      </c>
      <c r="N89">
        <v>7.367850007774196E-2</v>
      </c>
      <c r="O89">
        <v>0.01</v>
      </c>
      <c r="P89">
        <v>0.01</v>
      </c>
      <c r="Q89">
        <v>0.01</v>
      </c>
      <c r="R89">
        <v>0.01</v>
      </c>
      <c r="S89">
        <v>0.01</v>
      </c>
      <c r="T89">
        <v>0.10727390065818687</v>
      </c>
      <c r="U89">
        <v>0.01</v>
      </c>
      <c r="V89">
        <v>0.25289649170803802</v>
      </c>
      <c r="W89">
        <v>0.01</v>
      </c>
      <c r="X89">
        <v>0.19776700996045551</v>
      </c>
    </row>
    <row r="90" spans="2:24">
      <c r="B90">
        <v>2.4515587974551722E-2</v>
      </c>
      <c r="C90">
        <v>3.3790125607061254E-3</v>
      </c>
      <c r="E90">
        <v>0.01</v>
      </c>
      <c r="F90">
        <v>3.516022140275385E-2</v>
      </c>
      <c r="G90">
        <v>0.11609119348397605</v>
      </c>
      <c r="H90">
        <v>3.8006482399183174E-2</v>
      </c>
      <c r="I90">
        <v>0.01</v>
      </c>
      <c r="J90">
        <v>0.01</v>
      </c>
      <c r="K90">
        <v>0.01</v>
      </c>
      <c r="L90">
        <v>6.3215773120332816E-2</v>
      </c>
      <c r="M90">
        <v>0.01</v>
      </c>
      <c r="N90">
        <v>7.4094596433676538E-2</v>
      </c>
      <c r="O90">
        <v>0.01</v>
      </c>
      <c r="P90">
        <v>0.01</v>
      </c>
      <c r="Q90">
        <v>0.01</v>
      </c>
      <c r="R90">
        <v>0.01</v>
      </c>
      <c r="S90">
        <v>0.01</v>
      </c>
      <c r="T90">
        <v>0.10677295304212603</v>
      </c>
      <c r="U90">
        <v>0.01</v>
      </c>
      <c r="V90">
        <v>0.26631617646360956</v>
      </c>
      <c r="W90">
        <v>0.01</v>
      </c>
      <c r="X90">
        <v>0.18034260365434202</v>
      </c>
    </row>
    <row r="91" spans="2:24">
      <c r="B91">
        <v>2.4424036844898873E-2</v>
      </c>
      <c r="C91">
        <v>3.7541242604508837E-3</v>
      </c>
      <c r="E91">
        <v>0.01</v>
      </c>
      <c r="F91">
        <v>3.3537430882122438E-2</v>
      </c>
      <c r="G91">
        <v>0.1102992045276928</v>
      </c>
      <c r="H91">
        <v>4.9782289738942095E-2</v>
      </c>
      <c r="I91">
        <v>0.01</v>
      </c>
      <c r="J91">
        <v>0.01</v>
      </c>
      <c r="K91">
        <v>0.01</v>
      </c>
      <c r="L91">
        <v>6.2400411107116069E-2</v>
      </c>
      <c r="M91">
        <v>0.01</v>
      </c>
      <c r="N91">
        <v>7.3829315876417473E-2</v>
      </c>
      <c r="O91">
        <v>0.01</v>
      </c>
      <c r="P91">
        <v>0.01</v>
      </c>
      <c r="Q91">
        <v>0.01</v>
      </c>
      <c r="R91">
        <v>1.2239399182783904E-2</v>
      </c>
      <c r="S91">
        <v>0.01</v>
      </c>
      <c r="T91">
        <v>0.10622788541679121</v>
      </c>
      <c r="U91">
        <v>0.01</v>
      </c>
      <c r="V91">
        <v>0.27942459287044491</v>
      </c>
      <c r="W91">
        <v>0.01</v>
      </c>
      <c r="X91">
        <v>0.16225947039768926</v>
      </c>
    </row>
    <row r="92" spans="2:24">
      <c r="B92">
        <v>2.4367973481774129E-2</v>
      </c>
      <c r="C92">
        <v>4.1292359601956419E-3</v>
      </c>
      <c r="E92">
        <v>0.01</v>
      </c>
      <c r="F92">
        <v>3.2894268548760403E-2</v>
      </c>
      <c r="G92">
        <v>0.10443121623238098</v>
      </c>
      <c r="H92">
        <v>5.786022599207738E-2</v>
      </c>
      <c r="I92">
        <v>0.01</v>
      </c>
      <c r="J92">
        <v>1.3873939949731687E-2</v>
      </c>
      <c r="K92">
        <v>0.01</v>
      </c>
      <c r="L92">
        <v>6.2149941415384553E-2</v>
      </c>
      <c r="M92">
        <v>0.01</v>
      </c>
      <c r="N92">
        <v>6.9441979880112914E-2</v>
      </c>
      <c r="O92">
        <v>0.01</v>
      </c>
      <c r="P92">
        <v>0.01</v>
      </c>
      <c r="Q92">
        <v>0.01</v>
      </c>
      <c r="R92">
        <v>2.61267647965269E-2</v>
      </c>
      <c r="S92">
        <v>0.01</v>
      </c>
      <c r="T92">
        <v>0.10439096547231304</v>
      </c>
      <c r="U92">
        <v>0.01</v>
      </c>
      <c r="V92">
        <v>0.28685868687951765</v>
      </c>
      <c r="W92">
        <v>0.01</v>
      </c>
      <c r="X92">
        <v>0.14197201083319438</v>
      </c>
    </row>
    <row r="93" spans="2:24">
      <c r="B93">
        <v>2.4340645674482519E-2</v>
      </c>
      <c r="C93">
        <v>4.5043476599404006E-3</v>
      </c>
      <c r="E93">
        <v>0.01</v>
      </c>
      <c r="F93">
        <v>3.2166351336066761E-2</v>
      </c>
      <c r="G93">
        <v>9.8440999937846121E-2</v>
      </c>
      <c r="H93">
        <v>6.566981621567565E-2</v>
      </c>
      <c r="I93">
        <v>0.01</v>
      </c>
      <c r="J93">
        <v>1.8343354047324997E-2</v>
      </c>
      <c r="K93">
        <v>0.01</v>
      </c>
      <c r="L93">
        <v>6.1658831636381077E-2</v>
      </c>
      <c r="M93">
        <v>0.01</v>
      </c>
      <c r="N93">
        <v>6.5708641433743914E-2</v>
      </c>
      <c r="O93">
        <v>0.01</v>
      </c>
      <c r="P93">
        <v>0.01</v>
      </c>
      <c r="Q93">
        <v>0.01</v>
      </c>
      <c r="R93">
        <v>3.9325220623770113E-2</v>
      </c>
      <c r="S93">
        <v>0.01</v>
      </c>
      <c r="T93">
        <v>0.1024772092692111</v>
      </c>
      <c r="U93">
        <v>0.01</v>
      </c>
      <c r="V93">
        <v>0.29480271188951102</v>
      </c>
      <c r="W93">
        <v>0.01</v>
      </c>
      <c r="X93">
        <v>0.1214068636104694</v>
      </c>
    </row>
    <row r="94" spans="2:24">
      <c r="B94">
        <v>2.4342114460154357E-2</v>
      </c>
      <c r="C94">
        <v>4.8794593596851593E-3</v>
      </c>
      <c r="E94">
        <v>0.01</v>
      </c>
      <c r="F94">
        <v>3.1407437246057802E-2</v>
      </c>
      <c r="G94">
        <v>9.2415762240842483E-2</v>
      </c>
      <c r="H94">
        <v>7.3510338246736792E-2</v>
      </c>
      <c r="I94">
        <v>0.01</v>
      </c>
      <c r="J94">
        <v>2.2813474211434051E-2</v>
      </c>
      <c r="K94">
        <v>0.01</v>
      </c>
      <c r="L94">
        <v>6.1176554051291521E-2</v>
      </c>
      <c r="M94">
        <v>0.01</v>
      </c>
      <c r="N94">
        <v>6.1951920921766657E-2</v>
      </c>
      <c r="O94">
        <v>0.01</v>
      </c>
      <c r="P94">
        <v>0.01</v>
      </c>
      <c r="Q94">
        <v>0.01</v>
      </c>
      <c r="R94">
        <v>5.2523706560343844E-2</v>
      </c>
      <c r="S94">
        <v>0.01</v>
      </c>
      <c r="T94">
        <v>0.1005574740697439</v>
      </c>
      <c r="U94">
        <v>0.01</v>
      </c>
      <c r="V94">
        <v>0.30270105287236077</v>
      </c>
      <c r="W94">
        <v>0.01</v>
      </c>
      <c r="X94">
        <v>0.10094227957942215</v>
      </c>
    </row>
    <row r="95" spans="2:24">
      <c r="B95">
        <v>2.4372372330678134E-2</v>
      </c>
      <c r="C95">
        <v>5.254571059429918E-3</v>
      </c>
      <c r="E95">
        <v>0.01</v>
      </c>
      <c r="F95">
        <v>3.0679495461171713E-2</v>
      </c>
      <c r="G95">
        <v>8.6383277951946738E-2</v>
      </c>
      <c r="H95">
        <v>8.1347922298569242E-2</v>
      </c>
      <c r="I95">
        <v>0.01</v>
      </c>
      <c r="J95">
        <v>2.7283789727590341E-2</v>
      </c>
      <c r="K95">
        <v>0.01</v>
      </c>
      <c r="L95">
        <v>6.0687504947971115E-2</v>
      </c>
      <c r="M95">
        <v>0.01</v>
      </c>
      <c r="N95">
        <v>5.8190081974404964E-2</v>
      </c>
      <c r="O95">
        <v>0.01</v>
      </c>
      <c r="P95">
        <v>0.01</v>
      </c>
      <c r="Q95">
        <v>0.01</v>
      </c>
      <c r="R95">
        <v>6.5722975090716368E-2</v>
      </c>
      <c r="S95">
        <v>0.01</v>
      </c>
      <c r="T95">
        <v>9.8632200558673735E-2</v>
      </c>
      <c r="U95">
        <v>0.01</v>
      </c>
      <c r="V95">
        <v>0.31060397239328319</v>
      </c>
      <c r="W95">
        <v>0.01</v>
      </c>
      <c r="X95">
        <v>8.0468779595672654E-2</v>
      </c>
    </row>
    <row r="96" spans="2:24">
      <c r="B96">
        <v>2.4431312041425658E-2</v>
      </c>
      <c r="C96">
        <v>5.6296827591746767E-3</v>
      </c>
      <c r="E96">
        <v>0.01</v>
      </c>
      <c r="F96">
        <v>2.9940012771586373E-2</v>
      </c>
      <c r="G96">
        <v>8.0350870768955487E-2</v>
      </c>
      <c r="H96">
        <v>8.9186541878925996E-2</v>
      </c>
      <c r="I96">
        <v>0.01</v>
      </c>
      <c r="J96">
        <v>3.1751589021282015E-2</v>
      </c>
      <c r="K96">
        <v>0.01</v>
      </c>
      <c r="L96">
        <v>6.0191668492087728E-2</v>
      </c>
      <c r="M96">
        <v>0.01</v>
      </c>
      <c r="N96">
        <v>5.4428661901289734E-2</v>
      </c>
      <c r="O96">
        <v>0.01</v>
      </c>
      <c r="P96">
        <v>0.01</v>
      </c>
      <c r="Q96">
        <v>0.01</v>
      </c>
      <c r="R96">
        <v>7.8924894739054396E-2</v>
      </c>
      <c r="S96">
        <v>0.01</v>
      </c>
      <c r="T96">
        <v>9.6705480406186317E-2</v>
      </c>
      <c r="U96">
        <v>0.01</v>
      </c>
      <c r="V96">
        <v>0.31851754823222195</v>
      </c>
      <c r="W96">
        <v>0.01</v>
      </c>
      <c r="X96">
        <v>6.0002731788409945E-2</v>
      </c>
    </row>
    <row r="97" spans="2:24">
      <c r="B97">
        <v>2.4518727308083636E-2</v>
      </c>
      <c r="C97">
        <v>6.0047944589194354E-3</v>
      </c>
      <c r="E97">
        <v>0.01</v>
      </c>
      <c r="F97">
        <v>2.9199154142790257E-2</v>
      </c>
      <c r="G97">
        <v>7.4320924716481246E-2</v>
      </c>
      <c r="H97">
        <v>9.7025776635620897E-2</v>
      </c>
      <c r="I97">
        <v>0.01</v>
      </c>
      <c r="J97">
        <v>3.6219179718049256E-2</v>
      </c>
      <c r="K97">
        <v>0.01</v>
      </c>
      <c r="L97">
        <v>5.9697360281179418E-2</v>
      </c>
      <c r="M97">
        <v>0.01</v>
      </c>
      <c r="N97">
        <v>5.0668681148815911E-2</v>
      </c>
      <c r="O97">
        <v>0.01</v>
      </c>
      <c r="P97">
        <v>0.01</v>
      </c>
      <c r="Q97">
        <v>0.01</v>
      </c>
      <c r="R97">
        <v>9.2123605863810493E-2</v>
      </c>
      <c r="S97">
        <v>0.01</v>
      </c>
      <c r="T97">
        <v>9.4781157970916879E-2</v>
      </c>
      <c r="U97">
        <v>0.01</v>
      </c>
      <c r="V97">
        <v>0.32642925052453059</v>
      </c>
      <c r="W97">
        <v>0.01</v>
      </c>
      <c r="X97">
        <v>3.9534908997804943E-2</v>
      </c>
    </row>
    <row r="98" spans="2:24">
      <c r="B98">
        <v>2.4634322521313277E-2</v>
      </c>
      <c r="C98">
        <v>6.3799061586641941E-3</v>
      </c>
      <c r="E98">
        <v>0.01</v>
      </c>
      <c r="F98">
        <v>2.819613426369624E-2</v>
      </c>
      <c r="G98">
        <v>6.8396744438076626E-2</v>
      </c>
      <c r="H98">
        <v>0.10497633694587742</v>
      </c>
      <c r="I98">
        <v>0.01</v>
      </c>
      <c r="J98">
        <v>4.0649202818000538E-2</v>
      </c>
      <c r="K98">
        <v>0.01</v>
      </c>
      <c r="L98">
        <v>5.9220236748637557E-2</v>
      </c>
      <c r="M98">
        <v>0.01</v>
      </c>
      <c r="N98">
        <v>4.6982563763528454E-2</v>
      </c>
      <c r="O98">
        <v>0.01</v>
      </c>
      <c r="P98">
        <v>0.01</v>
      </c>
      <c r="Q98">
        <v>0.01</v>
      </c>
      <c r="R98">
        <v>0.1052640048413067</v>
      </c>
      <c r="S98">
        <v>0.01</v>
      </c>
      <c r="T98">
        <v>9.2853260848891034E-2</v>
      </c>
      <c r="U98">
        <v>0.01</v>
      </c>
      <c r="V98">
        <v>0.33420236627223715</v>
      </c>
      <c r="W98">
        <v>0.01</v>
      </c>
      <c r="X98">
        <v>1.9259149059748258E-2</v>
      </c>
    </row>
    <row r="99" spans="2:24">
      <c r="B99">
        <v>2.4780869000144888E-2</v>
      </c>
      <c r="C99">
        <v>6.7550178584089527E-3</v>
      </c>
      <c r="E99">
        <v>0.01</v>
      </c>
      <c r="F99">
        <v>2.6591081772732939E-2</v>
      </c>
      <c r="G99">
        <v>5.733848160854628E-2</v>
      </c>
      <c r="H99">
        <v>0.11670444876641849</v>
      </c>
      <c r="I99">
        <v>0.01</v>
      </c>
      <c r="J99">
        <v>4.5148955782699701E-2</v>
      </c>
      <c r="K99">
        <v>0.01</v>
      </c>
      <c r="L99">
        <v>5.8789586044127103E-2</v>
      </c>
      <c r="M99">
        <v>0.01</v>
      </c>
      <c r="N99">
        <v>4.255064842146547E-2</v>
      </c>
      <c r="O99">
        <v>0.01</v>
      </c>
      <c r="P99">
        <v>0.01</v>
      </c>
      <c r="Q99">
        <v>0.01</v>
      </c>
      <c r="R99">
        <v>0.11544729907242615</v>
      </c>
      <c r="S99">
        <v>0.01</v>
      </c>
      <c r="T99">
        <v>8.894034792102172E-2</v>
      </c>
      <c r="U99">
        <v>0.01</v>
      </c>
      <c r="V99">
        <v>0.33848915061056223</v>
      </c>
      <c r="W99">
        <v>0.01</v>
      </c>
      <c r="X99">
        <v>0.01</v>
      </c>
    </row>
    <row r="100" spans="2:24">
      <c r="B100">
        <v>2.497331419716196E-2</v>
      </c>
      <c r="C100">
        <v>7.1301295581537114E-3</v>
      </c>
      <c r="E100">
        <v>0.01</v>
      </c>
      <c r="F100">
        <v>2.3882252840966255E-2</v>
      </c>
      <c r="G100">
        <v>4.2338669299978995E-2</v>
      </c>
      <c r="H100">
        <v>0.13159025908456923</v>
      </c>
      <c r="I100">
        <v>0.01</v>
      </c>
      <c r="J100">
        <v>4.994183138183534E-2</v>
      </c>
      <c r="K100">
        <v>0.01</v>
      </c>
      <c r="L100">
        <v>5.9247584962584768E-2</v>
      </c>
      <c r="M100">
        <v>0.01</v>
      </c>
      <c r="N100">
        <v>3.7073914851362792E-2</v>
      </c>
      <c r="O100">
        <v>0.01</v>
      </c>
      <c r="P100">
        <v>0.01</v>
      </c>
      <c r="Q100">
        <v>0.01</v>
      </c>
      <c r="R100">
        <v>0.12414058753247396</v>
      </c>
      <c r="S100">
        <v>0.01</v>
      </c>
      <c r="T100">
        <v>8.3574734444379017E-2</v>
      </c>
      <c r="U100">
        <v>0.01</v>
      </c>
      <c r="V100">
        <v>0.33821016560184969</v>
      </c>
      <c r="W100">
        <v>0.01</v>
      </c>
      <c r="X100">
        <v>0.01</v>
      </c>
    </row>
    <row r="101" spans="2:24">
      <c r="B101">
        <v>2.5210977662378072E-2</v>
      </c>
      <c r="C101">
        <v>7.5052412578984701E-3</v>
      </c>
      <c r="E101">
        <v>0.01</v>
      </c>
      <c r="F101">
        <v>2.1180816969034129E-2</v>
      </c>
      <c r="G101">
        <v>2.7890041434745966E-2</v>
      </c>
      <c r="H101">
        <v>0.14669250318457408</v>
      </c>
      <c r="I101">
        <v>0.01</v>
      </c>
      <c r="J101">
        <v>5.448792824095481E-2</v>
      </c>
      <c r="K101">
        <v>0.01</v>
      </c>
      <c r="L101">
        <v>5.978779777828018E-2</v>
      </c>
      <c r="M101">
        <v>0.01</v>
      </c>
      <c r="N101">
        <v>3.1437079505167671E-2</v>
      </c>
      <c r="O101">
        <v>0.01</v>
      </c>
      <c r="P101">
        <v>0.01</v>
      </c>
      <c r="Q101">
        <v>0.01</v>
      </c>
      <c r="R101">
        <v>0.13239965800615933</v>
      </c>
      <c r="S101">
        <v>0.01</v>
      </c>
      <c r="T101">
        <v>7.8537578806916752E-2</v>
      </c>
      <c r="U101">
        <v>0.01</v>
      </c>
      <c r="V101">
        <v>0.33758659607416686</v>
      </c>
      <c r="W101">
        <v>0.01</v>
      </c>
      <c r="X101">
        <v>0.01</v>
      </c>
    </row>
    <row r="102" spans="2:24">
      <c r="B102">
        <v>2.549226732426442E-2</v>
      </c>
      <c r="C102">
        <v>7.8803529576432288E-3</v>
      </c>
      <c r="E102">
        <v>0.01</v>
      </c>
      <c r="F102">
        <v>1.8242473153722273E-2</v>
      </c>
      <c r="G102">
        <v>1.2681683837894295E-2</v>
      </c>
      <c r="H102">
        <v>0.15987869631978335</v>
      </c>
      <c r="I102">
        <v>0.01</v>
      </c>
      <c r="J102">
        <v>5.8412931928945887E-2</v>
      </c>
      <c r="K102">
        <v>0.01</v>
      </c>
      <c r="L102">
        <v>5.9854237541240099E-2</v>
      </c>
      <c r="M102">
        <v>0.01</v>
      </c>
      <c r="N102">
        <v>2.8801791103945401E-2</v>
      </c>
      <c r="O102">
        <v>0.01</v>
      </c>
      <c r="P102">
        <v>1.5911076799358975E-2</v>
      </c>
      <c r="Q102">
        <v>0.01</v>
      </c>
      <c r="R102">
        <v>0.13574097990189465</v>
      </c>
      <c r="S102">
        <v>0.01</v>
      </c>
      <c r="T102">
        <v>7.352575008936782E-2</v>
      </c>
      <c r="U102">
        <v>0.01</v>
      </c>
      <c r="V102">
        <v>0.33695037932384714</v>
      </c>
      <c r="W102">
        <v>0.01</v>
      </c>
      <c r="X102">
        <v>0.01</v>
      </c>
    </row>
    <row r="103" spans="2:24">
      <c r="B103">
        <v>2.5812213157671036E-2</v>
      </c>
      <c r="C103">
        <v>8.2554646573879866E-3</v>
      </c>
      <c r="E103">
        <v>9.9990000000000009E-3</v>
      </c>
      <c r="F103">
        <v>0.01</v>
      </c>
      <c r="G103">
        <v>0.01</v>
      </c>
      <c r="H103">
        <v>0.17225586481577851</v>
      </c>
      <c r="I103">
        <v>0.01</v>
      </c>
      <c r="J103">
        <v>5.9998926392420757E-2</v>
      </c>
      <c r="K103">
        <v>0.01</v>
      </c>
      <c r="L103">
        <v>5.7329008576568107E-2</v>
      </c>
      <c r="M103">
        <v>1.9716176721459915E-2</v>
      </c>
      <c r="N103">
        <v>2.1598800892248096E-2</v>
      </c>
      <c r="O103">
        <v>0.01</v>
      </c>
      <c r="P103">
        <v>1.9721308927277411E-2</v>
      </c>
      <c r="Q103">
        <v>0.01</v>
      </c>
      <c r="R103">
        <v>0.13568148689983417</v>
      </c>
      <c r="S103">
        <v>0.01</v>
      </c>
      <c r="T103">
        <v>6.8909231074764779E-2</v>
      </c>
      <c r="U103">
        <v>0.01</v>
      </c>
      <c r="V103">
        <v>0.33479019569964813</v>
      </c>
      <c r="W103">
        <v>0.01</v>
      </c>
      <c r="X103">
        <v>0.01</v>
      </c>
    </row>
    <row r="104" spans="2:24">
      <c r="B104">
        <v>2.6185677394761169E-2</v>
      </c>
      <c r="C104">
        <v>8.6305763571327444E-3</v>
      </c>
      <c r="E104">
        <v>0.01</v>
      </c>
      <c r="F104">
        <v>0.01</v>
      </c>
      <c r="G104">
        <v>0.01</v>
      </c>
      <c r="H104">
        <v>0.18635183019423618</v>
      </c>
      <c r="I104">
        <v>0.01</v>
      </c>
      <c r="J104">
        <v>6.1455594790468575E-2</v>
      </c>
      <c r="K104">
        <v>0.01</v>
      </c>
      <c r="L104">
        <v>5.3171575508744233E-2</v>
      </c>
      <c r="M104">
        <v>3.1319682928181714E-2</v>
      </c>
      <c r="N104">
        <v>1.0188691363337318E-2</v>
      </c>
      <c r="O104">
        <v>0.01</v>
      </c>
      <c r="P104">
        <v>2.240502361408999E-2</v>
      </c>
      <c r="Q104">
        <v>0.01</v>
      </c>
      <c r="R104">
        <v>0.13356608342417775</v>
      </c>
      <c r="S104">
        <v>0.01</v>
      </c>
      <c r="T104">
        <v>6.3643029431885281E-2</v>
      </c>
      <c r="U104">
        <v>0.01</v>
      </c>
      <c r="V104">
        <v>0.32789948874487884</v>
      </c>
      <c r="W104">
        <v>0.01</v>
      </c>
      <c r="X104">
        <v>0.01</v>
      </c>
    </row>
    <row r="105" spans="2:24">
      <c r="B105">
        <v>2.6618786778050765E-2</v>
      </c>
      <c r="C105">
        <v>9.0056880568775022E-3</v>
      </c>
      <c r="E105">
        <v>0.01</v>
      </c>
      <c r="F105">
        <v>0.01</v>
      </c>
      <c r="G105">
        <v>0.01</v>
      </c>
      <c r="H105">
        <v>0.2011325887679431</v>
      </c>
      <c r="I105">
        <v>0.01</v>
      </c>
      <c r="J105">
        <v>6.3119953245296095E-2</v>
      </c>
      <c r="K105">
        <v>0.01</v>
      </c>
      <c r="L105">
        <v>4.890944479619086E-2</v>
      </c>
      <c r="M105">
        <v>4.3396709153823675E-2</v>
      </c>
      <c r="N105">
        <v>0.01</v>
      </c>
      <c r="O105">
        <v>0.01</v>
      </c>
      <c r="P105">
        <v>2.7728863049842692E-2</v>
      </c>
      <c r="Q105">
        <v>0.01</v>
      </c>
      <c r="R105">
        <v>0.12136030130699313</v>
      </c>
      <c r="S105">
        <v>0.01</v>
      </c>
      <c r="T105">
        <v>5.6509843244187646E-2</v>
      </c>
      <c r="U105">
        <v>0.01</v>
      </c>
      <c r="V105">
        <v>0.31784329643572273</v>
      </c>
      <c r="W105">
        <v>0.01</v>
      </c>
      <c r="X105">
        <v>0.01</v>
      </c>
    </row>
    <row r="106" spans="2:24">
      <c r="B106">
        <v>2.7113926746713785E-2</v>
      </c>
      <c r="C106">
        <v>9.3807997566222601E-3</v>
      </c>
      <c r="E106">
        <v>0.01</v>
      </c>
      <c r="F106">
        <v>0.01</v>
      </c>
      <c r="G106">
        <v>0.01</v>
      </c>
      <c r="H106">
        <v>0.21590414484764153</v>
      </c>
      <c r="I106">
        <v>0.01</v>
      </c>
      <c r="J106">
        <v>6.4634303531614284E-2</v>
      </c>
      <c r="K106">
        <v>0.01</v>
      </c>
      <c r="L106">
        <v>4.4143275573200705E-2</v>
      </c>
      <c r="M106">
        <v>5.5510728121604777E-2</v>
      </c>
      <c r="N106">
        <v>0.01</v>
      </c>
      <c r="O106">
        <v>0.01</v>
      </c>
      <c r="P106">
        <v>3.2938554638242877E-2</v>
      </c>
      <c r="Q106">
        <v>0.01</v>
      </c>
      <c r="R106">
        <v>0.1089323036340348</v>
      </c>
      <c r="S106">
        <v>0.01</v>
      </c>
      <c r="T106">
        <v>4.9368364226941512E-2</v>
      </c>
      <c r="U106">
        <v>0.01</v>
      </c>
      <c r="V106">
        <v>0.30856832542671947</v>
      </c>
      <c r="W106">
        <v>0.01</v>
      </c>
      <c r="X106">
        <v>0.01</v>
      </c>
    </row>
    <row r="107" spans="2:24">
      <c r="B107">
        <v>2.7670353701392203E-2</v>
      </c>
      <c r="C107">
        <v>9.7559114563670179E-3</v>
      </c>
      <c r="E107">
        <v>0.01</v>
      </c>
      <c r="F107">
        <v>0.01</v>
      </c>
      <c r="G107">
        <v>0.01</v>
      </c>
      <c r="H107">
        <v>0.2307251274333505</v>
      </c>
      <c r="I107">
        <v>0.01</v>
      </c>
      <c r="J107">
        <v>6.6148112259450442E-2</v>
      </c>
      <c r="K107">
        <v>0.01</v>
      </c>
      <c r="L107">
        <v>3.9360019011092991E-2</v>
      </c>
      <c r="M107">
        <v>6.7638711109347577E-2</v>
      </c>
      <c r="N107">
        <v>0.01</v>
      </c>
      <c r="O107">
        <v>0.01</v>
      </c>
      <c r="P107">
        <v>3.8165834163188028E-2</v>
      </c>
      <c r="Q107">
        <v>0.01</v>
      </c>
      <c r="R107">
        <v>9.6437323043192233E-2</v>
      </c>
      <c r="S107">
        <v>0.01</v>
      </c>
      <c r="T107">
        <v>4.2196594531761784E-2</v>
      </c>
      <c r="U107">
        <v>0.01</v>
      </c>
      <c r="V107">
        <v>0.29932827844861631</v>
      </c>
      <c r="W107">
        <v>0.01</v>
      </c>
      <c r="X107">
        <v>0.01</v>
      </c>
    </row>
    <row r="108" spans="2:24">
      <c r="B108">
        <v>2.8284805763259493E-2</v>
      </c>
      <c r="C108">
        <v>1.0131023156111776E-2</v>
      </c>
      <c r="E108">
        <v>0.01</v>
      </c>
      <c r="F108">
        <v>0.01</v>
      </c>
      <c r="G108">
        <v>0.01</v>
      </c>
      <c r="H108">
        <v>0.24523780336669995</v>
      </c>
      <c r="I108">
        <v>0.01</v>
      </c>
      <c r="J108">
        <v>6.7234776603701335E-2</v>
      </c>
      <c r="K108">
        <v>0.01</v>
      </c>
      <c r="L108">
        <v>3.425108701937498E-2</v>
      </c>
      <c r="M108">
        <v>7.920521094553773E-2</v>
      </c>
      <c r="N108">
        <v>0.01</v>
      </c>
      <c r="O108">
        <v>0.01</v>
      </c>
      <c r="P108">
        <v>4.345995570638643E-2</v>
      </c>
      <c r="Q108">
        <v>0.01</v>
      </c>
      <c r="R108">
        <v>8.3309191192295975E-2</v>
      </c>
      <c r="S108">
        <v>1.1251091431330811E-2</v>
      </c>
      <c r="T108">
        <v>3.5231180966109152E-2</v>
      </c>
      <c r="U108">
        <v>0.01</v>
      </c>
      <c r="V108">
        <v>0.2908197027685635</v>
      </c>
      <c r="W108">
        <v>0.01</v>
      </c>
      <c r="X108">
        <v>0.01</v>
      </c>
    </row>
    <row r="109" spans="2:24">
      <c r="B109">
        <v>2.8938722359644099E-2</v>
      </c>
      <c r="C109">
        <v>1.0506134855856534E-2</v>
      </c>
      <c r="E109">
        <v>0.01</v>
      </c>
      <c r="F109">
        <v>0.01</v>
      </c>
      <c r="G109">
        <v>0.01</v>
      </c>
      <c r="H109">
        <v>0.25673500922912257</v>
      </c>
      <c r="I109">
        <v>0.01</v>
      </c>
      <c r="J109">
        <v>6.6183190382631263E-2</v>
      </c>
      <c r="K109">
        <v>0.01</v>
      </c>
      <c r="L109">
        <v>2.9723179171271059E-2</v>
      </c>
      <c r="M109">
        <v>8.7427273984558601E-2</v>
      </c>
      <c r="N109">
        <v>0.01</v>
      </c>
      <c r="O109">
        <v>0.01</v>
      </c>
      <c r="P109">
        <v>4.938863382449734E-2</v>
      </c>
      <c r="Q109">
        <v>0.01</v>
      </c>
      <c r="R109">
        <v>6.6420399238909439E-2</v>
      </c>
      <c r="S109">
        <v>2.1153275222695733E-2</v>
      </c>
      <c r="T109">
        <v>2.8703207082184802E-2</v>
      </c>
      <c r="U109">
        <v>0.01</v>
      </c>
      <c r="V109">
        <v>0.28426583186412896</v>
      </c>
      <c r="W109">
        <v>0.01</v>
      </c>
      <c r="X109">
        <v>0.01</v>
      </c>
    </row>
    <row r="110" spans="2:24">
      <c r="B110">
        <v>2.9623919986857004E-2</v>
      </c>
      <c r="C110">
        <v>1.0881246555601291E-2</v>
      </c>
      <c r="E110">
        <v>0.01</v>
      </c>
      <c r="F110">
        <v>0.01</v>
      </c>
      <c r="G110">
        <v>0.01</v>
      </c>
      <c r="H110">
        <v>0.26809456044417157</v>
      </c>
      <c r="I110">
        <v>0.01</v>
      </c>
      <c r="J110">
        <v>6.5322255691387276E-2</v>
      </c>
      <c r="K110">
        <v>0.01</v>
      </c>
      <c r="L110">
        <v>2.5387669963013205E-2</v>
      </c>
      <c r="M110">
        <v>9.590567793661324E-2</v>
      </c>
      <c r="N110">
        <v>0.01</v>
      </c>
      <c r="O110">
        <v>0.01</v>
      </c>
      <c r="P110">
        <v>5.495610795942607E-2</v>
      </c>
      <c r="Q110">
        <v>0.01</v>
      </c>
      <c r="R110">
        <v>5.0538443800392088E-2</v>
      </c>
      <c r="S110">
        <v>3.1073865285218723E-2</v>
      </c>
      <c r="T110">
        <v>2.1737218413482459E-2</v>
      </c>
      <c r="U110">
        <v>0.01</v>
      </c>
      <c r="V110">
        <v>0.27698420050629513</v>
      </c>
      <c r="W110">
        <v>0.01</v>
      </c>
      <c r="X110">
        <v>0.01</v>
      </c>
    </row>
    <row r="111" spans="2:24">
      <c r="B111">
        <v>3.0338305387272099E-2</v>
      </c>
      <c r="C111">
        <v>1.1256358255346049E-2</v>
      </c>
      <c r="E111">
        <v>0.01</v>
      </c>
      <c r="F111">
        <v>0.01</v>
      </c>
      <c r="G111">
        <v>0.01</v>
      </c>
      <c r="H111">
        <v>0.27968484688986167</v>
      </c>
      <c r="I111">
        <v>0.01</v>
      </c>
      <c r="J111">
        <v>6.4212586266427216E-2</v>
      </c>
      <c r="K111">
        <v>0.01</v>
      </c>
      <c r="L111">
        <v>2.06662346609899E-2</v>
      </c>
      <c r="M111">
        <v>0.10442353539523098</v>
      </c>
      <c r="N111">
        <v>0.01</v>
      </c>
      <c r="O111">
        <v>0.01</v>
      </c>
      <c r="P111">
        <v>6.0397265852303497E-2</v>
      </c>
      <c r="Q111">
        <v>0.01</v>
      </c>
      <c r="R111">
        <v>3.4354900220421099E-2</v>
      </c>
      <c r="S111">
        <v>4.0807312017482208E-2</v>
      </c>
      <c r="T111">
        <v>1.507628274694112E-2</v>
      </c>
      <c r="U111">
        <v>0.01</v>
      </c>
      <c r="V111">
        <v>0.2703770359503419</v>
      </c>
      <c r="W111">
        <v>0.01</v>
      </c>
      <c r="X111">
        <v>0.01</v>
      </c>
    </row>
    <row r="112" spans="2:24">
      <c r="B112">
        <v>3.1079959384269412E-2</v>
      </c>
      <c r="C112">
        <v>1.1631469955090807E-2</v>
      </c>
      <c r="E112">
        <v>0.01</v>
      </c>
      <c r="F112">
        <v>0.01</v>
      </c>
      <c r="G112">
        <v>0.01</v>
      </c>
      <c r="H112">
        <v>0.2912089382719506</v>
      </c>
      <c r="I112">
        <v>0.01</v>
      </c>
      <c r="J112">
        <v>6.3260495832623498E-2</v>
      </c>
      <c r="K112">
        <v>0.01</v>
      </c>
      <c r="L112">
        <v>1.5934978314427941E-2</v>
      </c>
      <c r="M112">
        <v>0.11317693501970044</v>
      </c>
      <c r="N112">
        <v>0.01</v>
      </c>
      <c r="O112">
        <v>0.01</v>
      </c>
      <c r="P112">
        <v>6.5948174565109985E-2</v>
      </c>
      <c r="Q112">
        <v>0.01</v>
      </c>
      <c r="R112">
        <v>1.7224167664747839E-2</v>
      </c>
      <c r="S112">
        <v>5.0675178572218392E-2</v>
      </c>
      <c r="T112">
        <v>0.01</v>
      </c>
      <c r="U112">
        <v>0.01</v>
      </c>
      <c r="V112">
        <v>0.26257113175922114</v>
      </c>
      <c r="W112">
        <v>0.01</v>
      </c>
      <c r="X112">
        <v>0.01</v>
      </c>
    </row>
    <row r="113" spans="2:24">
      <c r="B113">
        <v>3.1852850441611638E-2</v>
      </c>
      <c r="C113">
        <v>1.2006581654835565E-2</v>
      </c>
      <c r="E113">
        <v>0.01</v>
      </c>
      <c r="F113">
        <v>0.01</v>
      </c>
      <c r="G113">
        <v>0.01</v>
      </c>
      <c r="H113">
        <v>0.30447812510994499</v>
      </c>
      <c r="I113">
        <v>0.01</v>
      </c>
      <c r="J113">
        <v>6.2199864592571243E-2</v>
      </c>
      <c r="K113">
        <v>0.01</v>
      </c>
      <c r="L113">
        <v>0.01</v>
      </c>
      <c r="M113">
        <v>0.12002028791062908</v>
      </c>
      <c r="N113">
        <v>0.01</v>
      </c>
      <c r="O113">
        <v>0.01</v>
      </c>
      <c r="P113">
        <v>7.0086566884962412E-2</v>
      </c>
      <c r="Q113">
        <v>0.01</v>
      </c>
      <c r="R113">
        <v>0.01</v>
      </c>
      <c r="S113">
        <v>5.9554459934423029E-2</v>
      </c>
      <c r="T113">
        <v>0.01</v>
      </c>
      <c r="U113">
        <v>0.01</v>
      </c>
      <c r="V113">
        <v>0.24366069556746922</v>
      </c>
      <c r="W113">
        <v>0.01</v>
      </c>
      <c r="X113">
        <v>0.01</v>
      </c>
    </row>
    <row r="114" spans="2:24">
      <c r="B114">
        <v>3.2683439589318408E-2</v>
      </c>
      <c r="C114">
        <v>1.2381693354580323E-2</v>
      </c>
      <c r="E114">
        <v>0.01</v>
      </c>
      <c r="F114">
        <v>0.01</v>
      </c>
      <c r="G114">
        <v>0.01</v>
      </c>
      <c r="H114">
        <v>0.31953278650508232</v>
      </c>
      <c r="I114">
        <v>0.01</v>
      </c>
      <c r="J114">
        <v>6.2236238584702432E-2</v>
      </c>
      <c r="K114">
        <v>0.01</v>
      </c>
      <c r="L114">
        <v>0.01</v>
      </c>
      <c r="M114">
        <v>0.12619938782551274</v>
      </c>
      <c r="N114">
        <v>0.01</v>
      </c>
      <c r="O114">
        <v>0.01</v>
      </c>
      <c r="P114">
        <v>7.2612917440824737E-2</v>
      </c>
      <c r="Q114">
        <v>0.01</v>
      </c>
      <c r="R114">
        <v>0.01</v>
      </c>
      <c r="S114">
        <v>6.7162424273877988E-2</v>
      </c>
      <c r="T114">
        <v>0.01</v>
      </c>
      <c r="U114">
        <v>0.01</v>
      </c>
      <c r="V114">
        <v>0.21225624536999979</v>
      </c>
      <c r="W114">
        <v>0.01</v>
      </c>
      <c r="X114">
        <v>0.01</v>
      </c>
    </row>
    <row r="115" spans="2:24">
      <c r="B115">
        <v>3.3571937533378157E-2</v>
      </c>
      <c r="C115">
        <v>1.275680505432508E-2</v>
      </c>
      <c r="E115">
        <v>0.01</v>
      </c>
      <c r="F115">
        <v>0.01</v>
      </c>
      <c r="G115">
        <v>0.01</v>
      </c>
      <c r="H115">
        <v>0.33465747085266179</v>
      </c>
      <c r="I115">
        <v>0.01</v>
      </c>
      <c r="J115">
        <v>6.2310556995787393E-2</v>
      </c>
      <c r="K115">
        <v>0.01</v>
      </c>
      <c r="L115">
        <v>0.01</v>
      </c>
      <c r="M115">
        <v>0.13234017459341293</v>
      </c>
      <c r="N115">
        <v>0.01</v>
      </c>
      <c r="O115">
        <v>0.01</v>
      </c>
      <c r="P115">
        <v>7.5063060790867206E-2</v>
      </c>
      <c r="Q115">
        <v>0.01</v>
      </c>
      <c r="R115">
        <v>0.01</v>
      </c>
      <c r="S115">
        <v>7.48301326303248E-2</v>
      </c>
      <c r="T115">
        <v>0.01</v>
      </c>
      <c r="U115">
        <v>0.01</v>
      </c>
      <c r="V115">
        <v>0.18079860413694593</v>
      </c>
      <c r="W115">
        <v>0.01</v>
      </c>
      <c r="X115">
        <v>0.01</v>
      </c>
    </row>
    <row r="116" spans="2:24">
      <c r="B116">
        <v>3.4509337673713864E-2</v>
      </c>
      <c r="C116">
        <v>1.3131916754069838E-2</v>
      </c>
      <c r="E116">
        <v>0.01</v>
      </c>
      <c r="F116">
        <v>0.01</v>
      </c>
      <c r="G116">
        <v>0.01</v>
      </c>
      <c r="H116">
        <v>0.34974572698596146</v>
      </c>
      <c r="I116">
        <v>0.01</v>
      </c>
      <c r="J116">
        <v>6.2388735776585505E-2</v>
      </c>
      <c r="K116">
        <v>0.01</v>
      </c>
      <c r="L116">
        <v>0.01</v>
      </c>
      <c r="M116">
        <v>0.13846153666900035</v>
      </c>
      <c r="N116">
        <v>0.01</v>
      </c>
      <c r="O116">
        <v>0.01</v>
      </c>
      <c r="P116">
        <v>7.7506709850755529E-2</v>
      </c>
      <c r="Q116">
        <v>0.01</v>
      </c>
      <c r="R116">
        <v>0.01</v>
      </c>
      <c r="S116">
        <v>8.2472101335345396E-2</v>
      </c>
      <c r="T116">
        <v>0.01</v>
      </c>
      <c r="U116">
        <v>0.01</v>
      </c>
      <c r="V116">
        <v>0.14942518938235186</v>
      </c>
      <c r="W116">
        <v>0.01</v>
      </c>
      <c r="X116">
        <v>0.01</v>
      </c>
    </row>
    <row r="117" spans="2:24">
      <c r="B117">
        <v>3.5491190550699943E-2</v>
      </c>
      <c r="C117">
        <v>1.3507028453814596E-2</v>
      </c>
      <c r="E117">
        <v>0.01</v>
      </c>
      <c r="F117">
        <v>0.01</v>
      </c>
      <c r="G117">
        <v>0.01</v>
      </c>
      <c r="H117">
        <v>0.36480036071936367</v>
      </c>
      <c r="I117">
        <v>0.01</v>
      </c>
      <c r="J117">
        <v>6.2470071560923005E-2</v>
      </c>
      <c r="K117">
        <v>0.01</v>
      </c>
      <c r="L117">
        <v>0.01</v>
      </c>
      <c r="M117">
        <v>0.14456623389797904</v>
      </c>
      <c r="N117">
        <v>0.01</v>
      </c>
      <c r="O117">
        <v>0.01</v>
      </c>
      <c r="P117">
        <v>7.9945269223290219E-2</v>
      </c>
      <c r="Q117">
        <v>0.01</v>
      </c>
      <c r="R117">
        <v>0.01</v>
      </c>
      <c r="S117">
        <v>9.0080910106613274E-2</v>
      </c>
      <c r="T117">
        <v>0.01</v>
      </c>
      <c r="U117">
        <v>0.01</v>
      </c>
      <c r="V117">
        <v>0.11813715449183075</v>
      </c>
      <c r="W117">
        <v>0.01</v>
      </c>
      <c r="X117">
        <v>0.01</v>
      </c>
    </row>
    <row r="118" spans="2:24">
      <c r="B118">
        <v>3.6521735166463919E-2</v>
      </c>
      <c r="C118">
        <v>1.3882140153559354E-2</v>
      </c>
      <c r="E118">
        <v>0.01</v>
      </c>
      <c r="F118">
        <v>0.01</v>
      </c>
      <c r="G118">
        <v>0.01</v>
      </c>
      <c r="H118">
        <v>0.3799680092603358</v>
      </c>
      <c r="I118">
        <v>0.01</v>
      </c>
      <c r="J118">
        <v>6.2544817136398256E-2</v>
      </c>
      <c r="K118">
        <v>0.01</v>
      </c>
      <c r="L118">
        <v>0.01</v>
      </c>
      <c r="M118">
        <v>0.15072254855858405</v>
      </c>
      <c r="N118">
        <v>0.01</v>
      </c>
      <c r="O118">
        <v>0.01</v>
      </c>
      <c r="P118">
        <v>8.2378016300875004E-2</v>
      </c>
      <c r="Q118">
        <v>0.01</v>
      </c>
      <c r="R118">
        <v>0.01</v>
      </c>
      <c r="S118">
        <v>9.7679681431274326E-2</v>
      </c>
      <c r="T118">
        <v>0.01</v>
      </c>
      <c r="U118">
        <v>0.01</v>
      </c>
      <c r="V118">
        <v>8.6706927312532669E-2</v>
      </c>
      <c r="W118">
        <v>0.01</v>
      </c>
      <c r="X118">
        <v>0.01</v>
      </c>
    </row>
    <row r="119" spans="2:24">
      <c r="B119">
        <v>3.7586470382213515E-2</v>
      </c>
      <c r="C119">
        <v>1.4257251853304112E-2</v>
      </c>
      <c r="E119">
        <v>0.01</v>
      </c>
      <c r="F119">
        <v>0.01</v>
      </c>
      <c r="G119">
        <v>0.01</v>
      </c>
      <c r="H119">
        <v>0.394819262016322</v>
      </c>
      <c r="I119">
        <v>0.01</v>
      </c>
      <c r="J119">
        <v>6.2761219322892109E-2</v>
      </c>
      <c r="K119">
        <v>1.0000000000000002E-2</v>
      </c>
      <c r="L119">
        <v>0.01</v>
      </c>
      <c r="M119">
        <v>0.15695723717316856</v>
      </c>
      <c r="N119">
        <v>0.01</v>
      </c>
      <c r="O119">
        <v>0.01</v>
      </c>
      <c r="P119">
        <v>8.4869890732065925E-2</v>
      </c>
      <c r="Q119">
        <v>0.01</v>
      </c>
      <c r="R119">
        <v>0.01</v>
      </c>
      <c r="S119">
        <v>0.10540575785838625</v>
      </c>
      <c r="T119">
        <v>0.01</v>
      </c>
      <c r="U119">
        <v>0.01</v>
      </c>
      <c r="V119">
        <v>5.5186632897165043E-2</v>
      </c>
      <c r="W119">
        <v>0.01</v>
      </c>
      <c r="X119">
        <v>0.01</v>
      </c>
    </row>
    <row r="120" spans="2:24">
      <c r="B120">
        <v>3.8690477984520091E-2</v>
      </c>
      <c r="C120">
        <v>1.463236355304887E-2</v>
      </c>
      <c r="E120">
        <v>0.01</v>
      </c>
      <c r="F120">
        <v>0.01</v>
      </c>
      <c r="G120">
        <v>0.01</v>
      </c>
      <c r="H120">
        <v>0.41000576000332789</v>
      </c>
      <c r="I120">
        <v>0.01</v>
      </c>
      <c r="J120">
        <v>6.2978809360742169E-2</v>
      </c>
      <c r="K120">
        <v>1.0114314841643728E-2</v>
      </c>
      <c r="L120">
        <v>0.01</v>
      </c>
      <c r="M120">
        <v>0.16334344167708345</v>
      </c>
      <c r="N120">
        <v>0.01</v>
      </c>
      <c r="O120">
        <v>0.01</v>
      </c>
      <c r="P120">
        <v>8.6999611513604441E-2</v>
      </c>
      <c r="Q120">
        <v>0.01</v>
      </c>
      <c r="R120">
        <v>0.01</v>
      </c>
      <c r="S120">
        <v>0.11272538658716066</v>
      </c>
      <c r="T120">
        <v>0.01</v>
      </c>
      <c r="U120">
        <v>0.01</v>
      </c>
      <c r="V120">
        <v>2.383267601643773E-2</v>
      </c>
      <c r="W120">
        <v>0.01</v>
      </c>
      <c r="X120">
        <v>0.01</v>
      </c>
    </row>
    <row r="121" spans="2:24">
      <c r="B121">
        <v>3.9856790121929574E-2</v>
      </c>
      <c r="C121">
        <v>1.5007475252793627E-2</v>
      </c>
      <c r="E121">
        <v>0.01</v>
      </c>
      <c r="F121">
        <v>0.01</v>
      </c>
      <c r="G121">
        <v>0.01</v>
      </c>
      <c r="H121">
        <v>0.43715585550511782</v>
      </c>
      <c r="I121">
        <v>0.01</v>
      </c>
      <c r="J121">
        <v>5.2393361993531569E-2</v>
      </c>
      <c r="K121">
        <v>0.01</v>
      </c>
      <c r="L121">
        <v>0.01</v>
      </c>
      <c r="M121">
        <v>0.15998258733591647</v>
      </c>
      <c r="N121">
        <v>0.01</v>
      </c>
      <c r="O121">
        <v>0.01</v>
      </c>
      <c r="P121">
        <v>7.9233824523113228E-2</v>
      </c>
      <c r="Q121">
        <v>0.01</v>
      </c>
      <c r="R121">
        <v>0.01</v>
      </c>
      <c r="S121">
        <v>0.12123437064232076</v>
      </c>
      <c r="T121">
        <v>0.01</v>
      </c>
      <c r="U121">
        <v>0.01</v>
      </c>
      <c r="V121">
        <v>0.01</v>
      </c>
      <c r="W121">
        <v>0.01</v>
      </c>
      <c r="X121">
        <v>0.01</v>
      </c>
    </row>
    <row r="122" spans="2:24">
      <c r="B122">
        <v>4.1217817595601045E-2</v>
      </c>
      <c r="C122">
        <v>1.5382586952538385E-2</v>
      </c>
      <c r="E122">
        <v>0.01</v>
      </c>
      <c r="F122">
        <v>0.01</v>
      </c>
      <c r="G122">
        <v>0.01</v>
      </c>
      <c r="H122">
        <v>0.47389690050494143</v>
      </c>
      <c r="I122">
        <v>0.01</v>
      </c>
      <c r="J122">
        <v>3.340291206480564E-2</v>
      </c>
      <c r="K122">
        <v>0.01</v>
      </c>
      <c r="L122">
        <v>0.01</v>
      </c>
      <c r="M122">
        <v>0.14884736715447461</v>
      </c>
      <c r="N122">
        <v>0.01</v>
      </c>
      <c r="O122">
        <v>0.01</v>
      </c>
      <c r="P122">
        <v>6.3366338637167799E-2</v>
      </c>
      <c r="Q122">
        <v>0.01</v>
      </c>
      <c r="R122">
        <v>0.01</v>
      </c>
      <c r="S122">
        <v>0.13048648163861037</v>
      </c>
      <c r="T122">
        <v>0.01</v>
      </c>
      <c r="U122">
        <v>0.01</v>
      </c>
      <c r="V122">
        <v>0.01</v>
      </c>
      <c r="W122">
        <v>0.01</v>
      </c>
      <c r="X122">
        <v>0.01</v>
      </c>
    </row>
    <row r="123" spans="2:24">
      <c r="B123">
        <v>4.2760586028242231E-2</v>
      </c>
      <c r="C123">
        <v>1.5757698652283145E-2</v>
      </c>
      <c r="E123">
        <v>0.01</v>
      </c>
      <c r="F123">
        <v>0.01</v>
      </c>
      <c r="G123">
        <v>0.01</v>
      </c>
      <c r="H123">
        <v>0.510553880334642</v>
      </c>
      <c r="I123">
        <v>0.01</v>
      </c>
      <c r="J123">
        <v>1.4640012754716375E-2</v>
      </c>
      <c r="K123">
        <v>0.01</v>
      </c>
      <c r="L123">
        <v>0.01</v>
      </c>
      <c r="M123">
        <v>0.13771286180036157</v>
      </c>
      <c r="N123">
        <v>0.01</v>
      </c>
      <c r="O123">
        <v>0.01</v>
      </c>
      <c r="P123">
        <v>4.7610297133059275E-2</v>
      </c>
      <c r="Q123">
        <v>0.01</v>
      </c>
      <c r="R123">
        <v>0.01</v>
      </c>
      <c r="S123">
        <v>0.13948294797722052</v>
      </c>
      <c r="T123">
        <v>0.01</v>
      </c>
      <c r="U123">
        <v>0.01</v>
      </c>
      <c r="V123">
        <v>0.01</v>
      </c>
      <c r="W123">
        <v>0.01</v>
      </c>
      <c r="X123">
        <v>0.01</v>
      </c>
    </row>
    <row r="124" spans="2:24">
      <c r="B124">
        <v>4.4498099767646258E-2</v>
      </c>
      <c r="C124">
        <v>1.6132810352027904E-2</v>
      </c>
      <c r="E124">
        <v>0.01</v>
      </c>
      <c r="F124">
        <v>0.01</v>
      </c>
      <c r="G124">
        <v>0.01</v>
      </c>
      <c r="H124">
        <v>0.55378706425873869</v>
      </c>
      <c r="I124">
        <v>0.01</v>
      </c>
      <c r="J124">
        <v>0.01</v>
      </c>
      <c r="K124">
        <v>0.01</v>
      </c>
      <c r="L124">
        <v>0.01</v>
      </c>
      <c r="M124">
        <v>0.12027878128155384</v>
      </c>
      <c r="N124">
        <v>0.01</v>
      </c>
      <c r="O124">
        <v>0.01</v>
      </c>
      <c r="P124">
        <v>2.218834033585549E-2</v>
      </c>
      <c r="Q124">
        <v>0.01</v>
      </c>
      <c r="R124">
        <v>0.01</v>
      </c>
      <c r="S124">
        <v>0.1437458141238519</v>
      </c>
      <c r="T124">
        <v>0.01</v>
      </c>
      <c r="U124">
        <v>0.01</v>
      </c>
      <c r="V124">
        <v>0.01</v>
      </c>
      <c r="W124">
        <v>0.01</v>
      </c>
      <c r="X124">
        <v>0.01</v>
      </c>
    </row>
    <row r="125" spans="2:24">
      <c r="B125">
        <v>4.647149243066747E-2</v>
      </c>
      <c r="C125">
        <v>1.6507922051772664E-2</v>
      </c>
      <c r="E125">
        <v>0.01</v>
      </c>
      <c r="F125">
        <v>0.01</v>
      </c>
      <c r="G125">
        <v>0.01</v>
      </c>
      <c r="H125">
        <v>0.60195149854238927</v>
      </c>
      <c r="I125">
        <v>0.01</v>
      </c>
      <c r="J125">
        <v>0.01</v>
      </c>
      <c r="K125">
        <v>0.01</v>
      </c>
      <c r="L125">
        <v>0.01</v>
      </c>
      <c r="M125">
        <v>8.4016363271619349E-2</v>
      </c>
      <c r="N125">
        <v>0.01</v>
      </c>
      <c r="O125">
        <v>0.01</v>
      </c>
      <c r="P125">
        <v>0.01</v>
      </c>
      <c r="Q125">
        <v>0.01</v>
      </c>
      <c r="R125">
        <v>0.01</v>
      </c>
      <c r="S125">
        <v>0.14403213818599131</v>
      </c>
      <c r="T125">
        <v>0.01</v>
      </c>
      <c r="U125">
        <v>0.01</v>
      </c>
      <c r="V125">
        <v>0.01</v>
      </c>
      <c r="W125">
        <v>0.01</v>
      </c>
      <c r="X125">
        <v>0.01</v>
      </c>
    </row>
    <row r="126" spans="2:24">
      <c r="B126">
        <v>4.8730504073812873E-2</v>
      </c>
      <c r="C126">
        <v>1.6883033751517423E-2</v>
      </c>
      <c r="E126">
        <v>0.01</v>
      </c>
      <c r="F126">
        <v>0.01</v>
      </c>
      <c r="G126">
        <v>0.01</v>
      </c>
      <c r="H126">
        <v>0.65220374169698181</v>
      </c>
      <c r="I126">
        <v>0.01</v>
      </c>
      <c r="J126">
        <v>0.01</v>
      </c>
      <c r="K126">
        <v>0.01</v>
      </c>
      <c r="L126">
        <v>0.01</v>
      </c>
      <c r="M126">
        <v>3.5264946460260349E-2</v>
      </c>
      <c r="N126">
        <v>0.01</v>
      </c>
      <c r="O126">
        <v>0.01</v>
      </c>
      <c r="P126">
        <v>0.01</v>
      </c>
      <c r="Q126">
        <v>0.01</v>
      </c>
      <c r="R126">
        <v>0.01</v>
      </c>
      <c r="S126">
        <v>0.1425313118427578</v>
      </c>
      <c r="T126">
        <v>0.01</v>
      </c>
      <c r="U126">
        <v>0.01</v>
      </c>
      <c r="V126">
        <v>0.01</v>
      </c>
      <c r="W126">
        <v>0.01</v>
      </c>
      <c r="X126">
        <v>0.01</v>
      </c>
    </row>
    <row r="127" spans="2:24">
      <c r="B127">
        <v>5.1313749090010657E-2</v>
      </c>
      <c r="C127">
        <v>1.7258145451262183E-2</v>
      </c>
      <c r="E127">
        <v>0.01</v>
      </c>
      <c r="F127">
        <v>0.01</v>
      </c>
      <c r="G127">
        <v>0.01</v>
      </c>
      <c r="H127">
        <v>0.70969798693900066</v>
      </c>
      <c r="I127">
        <v>0.01</v>
      </c>
      <c r="J127">
        <v>0.01</v>
      </c>
      <c r="K127">
        <v>0.01</v>
      </c>
      <c r="L127">
        <v>0.01</v>
      </c>
      <c r="M127">
        <v>1.0000000000000002E-2</v>
      </c>
      <c r="N127">
        <v>0.01</v>
      </c>
      <c r="O127">
        <v>0.01</v>
      </c>
      <c r="P127">
        <v>0.01</v>
      </c>
      <c r="Q127">
        <v>0.01</v>
      </c>
      <c r="R127">
        <v>0.01</v>
      </c>
      <c r="S127">
        <v>0.11030201306099928</v>
      </c>
      <c r="T127">
        <v>0.01</v>
      </c>
      <c r="U127">
        <v>0.01</v>
      </c>
      <c r="V127">
        <v>0.01</v>
      </c>
      <c r="W127">
        <v>0.01</v>
      </c>
      <c r="X127">
        <v>0.01</v>
      </c>
    </row>
    <row r="128" spans="2:24">
      <c r="B128">
        <v>5.4517790839678566E-2</v>
      </c>
      <c r="C128">
        <v>1.7633257151006942E-2</v>
      </c>
      <c r="E128">
        <v>0.01</v>
      </c>
      <c r="F128">
        <v>0.01</v>
      </c>
      <c r="G128">
        <v>0.01</v>
      </c>
      <c r="H128">
        <v>0.77445026764015557</v>
      </c>
      <c r="I128">
        <v>0.01</v>
      </c>
      <c r="J128">
        <v>0.01</v>
      </c>
      <c r="K128">
        <v>0.01</v>
      </c>
      <c r="L128">
        <v>0.01</v>
      </c>
      <c r="M128">
        <v>1.0000000000000002E-2</v>
      </c>
      <c r="N128">
        <v>0.01</v>
      </c>
      <c r="O128">
        <v>0.01</v>
      </c>
      <c r="P128">
        <v>0.01</v>
      </c>
      <c r="Q128">
        <v>0.01</v>
      </c>
      <c r="R128">
        <v>0.01</v>
      </c>
      <c r="S128">
        <v>4.5549732359844247E-2</v>
      </c>
      <c r="T128">
        <v>0.01</v>
      </c>
      <c r="U128">
        <v>0.01</v>
      </c>
      <c r="V128">
        <v>0.01</v>
      </c>
      <c r="W128">
        <v>0.01</v>
      </c>
      <c r="X128">
        <v>0.01</v>
      </c>
    </row>
  </sheetData>
  <phoneticPr fontId="1"/>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説明</vt:lpstr>
      <vt:lpstr>株価データサンプル</vt:lpstr>
      <vt:lpstr>実行結果サンプル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2025-08-29T14:34:33Z</dcterms:created>
  <dcterms:modified xsi:type="dcterms:W3CDTF">2025-08-29T14:35:46Z</dcterms:modified>
  <cp:contentStatus/>
</cp:coreProperties>
</file>